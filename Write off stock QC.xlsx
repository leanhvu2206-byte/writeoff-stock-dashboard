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571EF7-65A1-4544-B47F-6A8F87F7CDA1}" xr6:coauthVersionLast="36" xr6:coauthVersionMax="47" xr10:uidLastSave="{00000000-0000-0000-0000-000000000000}"/>
  <bookViews>
    <workbookView xWindow="0" yWindow="0" windowWidth="23040" windowHeight="9060" xr2:uid="{09A0D57F-1F4F-4A67-AD02-CF0FEEFE867F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R218" i="2" l="1"/>
  <c r="P218" i="2"/>
  <c r="R217" i="2"/>
  <c r="R216" i="2"/>
  <c r="P216" i="2"/>
  <c r="R215" i="2"/>
  <c r="P215" i="2"/>
  <c r="R214" i="2"/>
  <c r="P214" i="2"/>
  <c r="R213" i="2"/>
  <c r="P213" i="2"/>
  <c r="R212" i="2"/>
  <c r="P212" i="2"/>
  <c r="R211" i="2"/>
  <c r="P211" i="2"/>
  <c r="R210" i="2"/>
  <c r="P210" i="2"/>
  <c r="R209" i="2"/>
  <c r="P209" i="2"/>
  <c r="R208" i="2"/>
  <c r="P208" i="2"/>
  <c r="R207" i="2"/>
  <c r="P207" i="2"/>
  <c r="R206" i="2"/>
  <c r="P206" i="2"/>
  <c r="R205" i="2"/>
  <c r="P205" i="2"/>
  <c r="R204" i="2"/>
  <c r="P204" i="2"/>
  <c r="R203" i="2"/>
  <c r="P203" i="2"/>
  <c r="R202" i="2"/>
  <c r="P202" i="2"/>
  <c r="R201" i="2"/>
  <c r="P201" i="2"/>
  <c r="R200" i="2"/>
  <c r="P200" i="2"/>
  <c r="R199" i="2"/>
  <c r="P199" i="2"/>
  <c r="R198" i="2"/>
  <c r="P198" i="2"/>
  <c r="R197" i="2"/>
  <c r="P197" i="2"/>
  <c r="R196" i="2"/>
  <c r="P196" i="2"/>
  <c r="R195" i="2"/>
  <c r="P195" i="2"/>
  <c r="R194" i="2"/>
  <c r="P194" i="2"/>
  <c r="R193" i="2"/>
  <c r="P193" i="2"/>
  <c r="R192" i="2"/>
  <c r="P192" i="2"/>
  <c r="R191" i="2"/>
  <c r="P191" i="2"/>
  <c r="R190" i="2"/>
  <c r="P190" i="2"/>
  <c r="R189" i="2"/>
  <c r="P189" i="2"/>
  <c r="R188" i="2"/>
  <c r="P188" i="2"/>
  <c r="R187" i="2"/>
  <c r="P187" i="2"/>
  <c r="R186" i="2"/>
  <c r="P186" i="2"/>
  <c r="R185" i="2"/>
  <c r="P185" i="2"/>
  <c r="R184" i="2"/>
  <c r="P184" i="2"/>
  <c r="R183" i="2"/>
  <c r="P183" i="2"/>
  <c r="R182" i="2"/>
  <c r="P182" i="2"/>
  <c r="R181" i="2"/>
  <c r="P181" i="2"/>
  <c r="R180" i="2"/>
  <c r="P180" i="2"/>
  <c r="R179" i="2"/>
  <c r="R178" i="2"/>
  <c r="P178" i="2"/>
  <c r="R177" i="2"/>
  <c r="P177" i="2"/>
  <c r="R176" i="2"/>
  <c r="P176" i="2"/>
  <c r="R175" i="2"/>
  <c r="P175" i="2"/>
  <c r="R174" i="2"/>
  <c r="P174" i="2"/>
  <c r="R173" i="2"/>
  <c r="P173" i="2"/>
  <c r="R172" i="2"/>
  <c r="P172" i="2"/>
  <c r="R171" i="2"/>
  <c r="P171" i="2"/>
  <c r="R170" i="2"/>
  <c r="P170" i="2"/>
  <c r="R169" i="2"/>
  <c r="P169" i="2"/>
  <c r="R168" i="2"/>
  <c r="P168" i="2"/>
  <c r="R167" i="2"/>
  <c r="P167" i="2"/>
  <c r="R166" i="2"/>
  <c r="P166" i="2"/>
  <c r="R165" i="2"/>
  <c r="P165" i="2"/>
  <c r="R164" i="2"/>
  <c r="P164" i="2"/>
  <c r="R163" i="2"/>
  <c r="P163" i="2"/>
  <c r="R162" i="2"/>
  <c r="P162" i="2"/>
  <c r="R161" i="2"/>
  <c r="P161" i="2"/>
  <c r="R160" i="2"/>
  <c r="P160" i="2"/>
  <c r="R159" i="2"/>
  <c r="P159" i="2"/>
  <c r="R158" i="2"/>
  <c r="P158" i="2"/>
  <c r="R157" i="2"/>
  <c r="P157" i="2"/>
  <c r="R156" i="2"/>
  <c r="P156" i="2"/>
  <c r="R155" i="2"/>
  <c r="P155" i="2"/>
  <c r="R154" i="2"/>
  <c r="P154" i="2"/>
  <c r="R153" i="2"/>
  <c r="P153" i="2"/>
  <c r="R152" i="2"/>
  <c r="P152" i="2"/>
  <c r="R151" i="2"/>
  <c r="P151" i="2"/>
  <c r="R150" i="2"/>
  <c r="P150" i="2"/>
  <c r="R149" i="2"/>
  <c r="P149" i="2"/>
  <c r="R148" i="2"/>
  <c r="P148" i="2"/>
  <c r="R147" i="2"/>
  <c r="P147" i="2"/>
  <c r="R146" i="2"/>
  <c r="P146" i="2"/>
  <c r="R145" i="2"/>
  <c r="P145" i="2"/>
  <c r="R144" i="2"/>
  <c r="P144" i="2"/>
  <c r="R143" i="2"/>
  <c r="P143" i="2"/>
  <c r="R142" i="2"/>
  <c r="P142" i="2"/>
  <c r="R141" i="2"/>
  <c r="P141" i="2"/>
  <c r="R140" i="2"/>
  <c r="P140" i="2"/>
  <c r="R139" i="2"/>
  <c r="P139" i="2"/>
  <c r="R138" i="2"/>
  <c r="P138" i="2"/>
  <c r="R137" i="2"/>
  <c r="P137" i="2"/>
  <c r="R136" i="2"/>
  <c r="P136" i="2"/>
  <c r="R135" i="2"/>
  <c r="P135" i="2"/>
  <c r="R134" i="2"/>
  <c r="P134" i="2"/>
  <c r="R133" i="2"/>
  <c r="P133" i="2"/>
  <c r="R132" i="2"/>
  <c r="P132" i="2"/>
  <c r="R131" i="2"/>
  <c r="P131" i="2"/>
  <c r="R130" i="2"/>
  <c r="P130" i="2"/>
  <c r="R129" i="2"/>
  <c r="P129" i="2"/>
  <c r="R128" i="2"/>
  <c r="P128" i="2"/>
  <c r="R127" i="2"/>
  <c r="P127" i="2"/>
  <c r="R126" i="2"/>
  <c r="P126" i="2"/>
  <c r="R125" i="2"/>
  <c r="P125" i="2"/>
  <c r="R124" i="2"/>
  <c r="P124" i="2"/>
  <c r="R123" i="2"/>
  <c r="P123" i="2"/>
  <c r="R122" i="2"/>
  <c r="P122" i="2"/>
  <c r="R121" i="2"/>
  <c r="P121" i="2"/>
  <c r="R120" i="2"/>
  <c r="P120" i="2"/>
  <c r="R119" i="2"/>
  <c r="P119" i="2"/>
  <c r="R118" i="2"/>
  <c r="P118" i="2"/>
  <c r="R117" i="2"/>
  <c r="P117" i="2"/>
  <c r="R116" i="2"/>
  <c r="P116" i="2"/>
  <c r="R115" i="2"/>
  <c r="P115" i="2"/>
  <c r="R114" i="2"/>
  <c r="P114" i="2"/>
  <c r="R113" i="2"/>
  <c r="P113" i="2"/>
  <c r="R112" i="2"/>
  <c r="P112" i="2"/>
  <c r="R111" i="2"/>
  <c r="P111" i="2"/>
  <c r="R110" i="2"/>
  <c r="P110" i="2"/>
  <c r="R109" i="2"/>
  <c r="P109" i="2"/>
  <c r="R108" i="2"/>
  <c r="P108" i="2"/>
  <c r="R107" i="2"/>
  <c r="P107" i="2"/>
  <c r="R106" i="2"/>
  <c r="P106" i="2"/>
  <c r="R105" i="2"/>
  <c r="P105" i="2"/>
  <c r="R104" i="2"/>
  <c r="P104" i="2"/>
  <c r="R103" i="2"/>
  <c r="P103" i="2"/>
  <c r="R102" i="2"/>
  <c r="P102" i="2"/>
  <c r="R101" i="2"/>
  <c r="P101" i="2"/>
  <c r="R100" i="2"/>
  <c r="P100" i="2"/>
  <c r="R99" i="2"/>
  <c r="P99" i="2"/>
  <c r="R98" i="2"/>
  <c r="P98" i="2"/>
  <c r="R97" i="2"/>
  <c r="P97" i="2"/>
  <c r="R96" i="2"/>
  <c r="P96" i="2"/>
  <c r="R95" i="2"/>
  <c r="P95" i="2"/>
  <c r="R94" i="2"/>
  <c r="P94" i="2"/>
  <c r="R93" i="2"/>
  <c r="P93" i="2"/>
  <c r="R92" i="2"/>
  <c r="P92" i="2"/>
  <c r="R91" i="2"/>
  <c r="P91" i="2"/>
  <c r="R90" i="2"/>
  <c r="P90" i="2"/>
  <c r="R89" i="2"/>
  <c r="P89" i="2"/>
  <c r="R88" i="2"/>
  <c r="P88" i="2"/>
  <c r="R87" i="2"/>
  <c r="P87" i="2"/>
  <c r="R86" i="2"/>
  <c r="P86" i="2"/>
  <c r="R85" i="2"/>
  <c r="P85" i="2"/>
  <c r="R84" i="2"/>
  <c r="P84" i="2"/>
  <c r="R83" i="2"/>
  <c r="P83" i="2"/>
  <c r="R82" i="2"/>
  <c r="P82" i="2"/>
  <c r="R81" i="2"/>
  <c r="P81" i="2"/>
  <c r="R80" i="2"/>
  <c r="P80" i="2"/>
  <c r="R79" i="2"/>
  <c r="P79" i="2"/>
  <c r="R78" i="2"/>
  <c r="P78" i="2"/>
  <c r="R77" i="2"/>
  <c r="P77" i="2"/>
  <c r="R76" i="2"/>
  <c r="P76" i="2"/>
  <c r="R75" i="2"/>
  <c r="P75" i="2"/>
  <c r="R74" i="2"/>
  <c r="P74" i="2"/>
  <c r="R73" i="2"/>
  <c r="P73" i="2"/>
  <c r="R72" i="2"/>
  <c r="P72" i="2"/>
  <c r="R71" i="2"/>
  <c r="P71" i="2"/>
  <c r="R70" i="2"/>
  <c r="P70" i="2"/>
  <c r="R69" i="2"/>
  <c r="P69" i="2"/>
  <c r="R68" i="2"/>
  <c r="P68" i="2"/>
  <c r="R67" i="2"/>
  <c r="P67" i="2"/>
  <c r="R66" i="2"/>
  <c r="P66" i="2"/>
  <c r="R65" i="2"/>
  <c r="P65" i="2"/>
  <c r="R64" i="2"/>
  <c r="P64" i="2"/>
  <c r="R63" i="2"/>
  <c r="P63" i="2"/>
  <c r="R62" i="2"/>
  <c r="P62" i="2"/>
  <c r="R61" i="2"/>
  <c r="P61" i="2"/>
  <c r="R60" i="2"/>
  <c r="P60" i="2"/>
  <c r="R59" i="2"/>
  <c r="P59" i="2"/>
  <c r="R58" i="2"/>
  <c r="P58" i="2"/>
  <c r="R57" i="2"/>
  <c r="P57" i="2"/>
  <c r="R56" i="2"/>
  <c r="P56" i="2"/>
  <c r="R55" i="2"/>
  <c r="P55" i="2"/>
  <c r="R54" i="2"/>
  <c r="P54" i="2"/>
  <c r="R53" i="2"/>
  <c r="P53" i="2"/>
  <c r="R52" i="2"/>
  <c r="P52" i="2"/>
  <c r="R51" i="2"/>
  <c r="P51" i="2"/>
  <c r="R50" i="2"/>
  <c r="P50" i="2"/>
  <c r="R49" i="2"/>
  <c r="P49" i="2"/>
  <c r="R48" i="2"/>
  <c r="P48" i="2"/>
  <c r="R47" i="2"/>
  <c r="P47" i="2"/>
  <c r="R46" i="2"/>
  <c r="P46" i="2"/>
  <c r="R45" i="2"/>
  <c r="P45" i="2"/>
  <c r="R44" i="2"/>
  <c r="P44" i="2"/>
  <c r="R43" i="2"/>
  <c r="P43" i="2"/>
  <c r="R42" i="2"/>
  <c r="P42" i="2"/>
  <c r="R41" i="2"/>
  <c r="P41" i="2"/>
  <c r="R40" i="2"/>
  <c r="P40" i="2"/>
  <c r="R39" i="2"/>
  <c r="P39" i="2"/>
  <c r="R38" i="2"/>
  <c r="P38" i="2"/>
  <c r="R37" i="2"/>
  <c r="P37" i="2"/>
  <c r="R36" i="2"/>
  <c r="P36" i="2"/>
  <c r="R35" i="2"/>
  <c r="P35" i="2"/>
  <c r="R34" i="2"/>
  <c r="P34" i="2"/>
  <c r="R33" i="2"/>
  <c r="P33" i="2"/>
  <c r="R32" i="2"/>
  <c r="P32" i="2"/>
  <c r="R31" i="2"/>
  <c r="P31" i="2"/>
  <c r="R30" i="2"/>
  <c r="P30" i="2"/>
  <c r="R29" i="2"/>
  <c r="P29" i="2"/>
  <c r="R28" i="2"/>
  <c r="P28" i="2"/>
  <c r="R27" i="2"/>
  <c r="P27" i="2"/>
  <c r="R26" i="2"/>
  <c r="P26" i="2"/>
  <c r="R25" i="2"/>
  <c r="P25" i="2"/>
  <c r="R24" i="2"/>
  <c r="P24" i="2"/>
  <c r="R23" i="2"/>
  <c r="P23" i="2"/>
  <c r="R22" i="2"/>
  <c r="P22" i="2"/>
  <c r="R21" i="2"/>
  <c r="P21" i="2"/>
  <c r="R20" i="2"/>
  <c r="P20" i="2"/>
  <c r="R19" i="2"/>
  <c r="P19" i="2"/>
  <c r="R18" i="2"/>
  <c r="P18" i="2"/>
  <c r="R17" i="2"/>
  <c r="P17" i="2"/>
  <c r="R16" i="2"/>
  <c r="P16" i="2"/>
  <c r="R15" i="2"/>
  <c r="P15" i="2"/>
  <c r="R14" i="2"/>
  <c r="P14" i="2"/>
  <c r="R13" i="2"/>
  <c r="P13" i="2"/>
  <c r="R12" i="2"/>
  <c r="P12" i="2"/>
  <c r="R11" i="2"/>
  <c r="P11" i="2"/>
  <c r="R10" i="2"/>
  <c r="P10" i="2"/>
  <c r="R9" i="2"/>
  <c r="P9" i="2"/>
  <c r="R8" i="2"/>
  <c r="P8" i="2"/>
  <c r="R7" i="2"/>
  <c r="P7" i="2"/>
  <c r="R6" i="2"/>
  <c r="P6" i="2"/>
  <c r="R5" i="2"/>
  <c r="P5" i="2"/>
  <c r="R4" i="2"/>
  <c r="P4" i="2"/>
  <c r="R3" i="2"/>
  <c r="P3" i="2"/>
  <c r="R2" i="2"/>
  <c r="P2" i="2"/>
</calcChain>
</file>

<file path=xl/sharedStrings.xml><?xml version="1.0" encoding="utf-8"?>
<sst xmlns="http://schemas.openxmlformats.org/spreadsheetml/2006/main" count="2363" uniqueCount="523">
  <si>
    <t>Name</t>
  </si>
  <si>
    <t>Description</t>
  </si>
  <si>
    <t>Location On Hand</t>
  </si>
  <si>
    <t>Inventory Location</t>
  </si>
  <si>
    <t>Location Committed</t>
  </si>
  <si>
    <t>Available</t>
  </si>
  <si>
    <t>Work Order Group</t>
  </si>
  <si>
    <t>Work Order Sub-Group</t>
  </si>
  <si>
    <t>Location Lead Time</t>
  </si>
  <si>
    <t>Location On Order</t>
  </si>
  <si>
    <t>Location Average Cost</t>
  </si>
  <si>
    <t>Location Total Value</t>
  </si>
  <si>
    <t>1080-0</t>
  </si>
  <si>
    <t>85 Red Bush Type 3 - Part Off</t>
  </si>
  <si>
    <t>Long Thanh Write-Off</t>
  </si>
  <si>
    <t/>
  </si>
  <si>
    <t>Bushes</t>
  </si>
  <si>
    <t>85 Red</t>
  </si>
  <si>
    <t>110-032-160-0</t>
  </si>
  <si>
    <t>94 Red Bushing - Part Off</t>
  </si>
  <si>
    <t>94 Red</t>
  </si>
  <si>
    <t>110-032-160-2</t>
  </si>
  <si>
    <t>94 Black Bushing - Part Off</t>
  </si>
  <si>
    <t>94 Black</t>
  </si>
  <si>
    <t>110-034-085-2</t>
  </si>
  <si>
    <t>85 Black Bushing - Part Off</t>
  </si>
  <si>
    <t>85 Black</t>
  </si>
  <si>
    <t>1991-172610</t>
  </si>
  <si>
    <t>TB Cloth Size 17.20 PTFE</t>
  </si>
  <si>
    <t>TB</t>
  </si>
  <si>
    <t>Purchasing</t>
  </si>
  <si>
    <t>1991-194610</t>
  </si>
  <si>
    <t>TB Cloth Size 19.40 PTFE</t>
  </si>
  <si>
    <t>1991-216610</t>
  </si>
  <si>
    <t>TB Cloth Size 21.60 PTFE</t>
  </si>
  <si>
    <t>1991-234610</t>
  </si>
  <si>
    <t>TB Cloth Size 23.40 PTFE</t>
  </si>
  <si>
    <t>1992-152610</t>
  </si>
  <si>
    <t>TB Cloth Size 15.20 PTFE</t>
  </si>
  <si>
    <t>1993-301610</t>
  </si>
  <si>
    <t>TB Cloth Size 30.10 PTFE</t>
  </si>
  <si>
    <t>20108Z-2</t>
  </si>
  <si>
    <t>85 Black Bush - Bonded- Part Off</t>
  </si>
  <si>
    <t>20118Z-2</t>
  </si>
  <si>
    <t>85 Black Shell Bushing Type 17 - Bonded - Part Off</t>
  </si>
  <si>
    <t>20132Z-15-2</t>
  </si>
  <si>
    <t>85 Black Bush - Split</t>
  </si>
  <si>
    <t>20150Z-2</t>
  </si>
  <si>
    <t>85 Black Bushing - Split</t>
  </si>
  <si>
    <t>20155Z-2</t>
  </si>
  <si>
    <t>3468035-2</t>
  </si>
  <si>
    <t>94 Black Bushing</t>
  </si>
  <si>
    <t>3468036-2</t>
  </si>
  <si>
    <t>48610-35040</t>
  </si>
  <si>
    <t>FUCA RH Arm - Without Bushing/Ball joint</t>
  </si>
  <si>
    <t>Control Arm</t>
  </si>
  <si>
    <t>48630-35020</t>
  </si>
  <si>
    <t>FUCA LH Arm - Without Bushing/Ball joint</t>
  </si>
  <si>
    <t>5070-18-2</t>
  </si>
  <si>
    <t>85 Black Bush Type 4 - Split</t>
  </si>
  <si>
    <t>5127-22-3</t>
  </si>
  <si>
    <t>83 Blue Bushing Type 4 - Split</t>
  </si>
  <si>
    <t>83 Blue</t>
  </si>
  <si>
    <t>5488-0</t>
  </si>
  <si>
    <t>85 Red Bush Type 1</t>
  </si>
  <si>
    <t>5N092</t>
  </si>
  <si>
    <t>Nut M18 1.5x27Wx10H Hex LH Zinc GR 8.8</t>
  </si>
  <si>
    <t>Nuts</t>
  </si>
  <si>
    <t>5N826A</t>
  </si>
  <si>
    <t>Hex Jam Nut 1/2-20 UNF Lh Grade 5</t>
  </si>
  <si>
    <t>Do Not Reorder</t>
  </si>
  <si>
    <t>60597B-0</t>
  </si>
  <si>
    <t>85 Red Bush Type 19</t>
  </si>
  <si>
    <t>6232-2</t>
  </si>
  <si>
    <t>85 Black Bush Type 1- Part Off</t>
  </si>
  <si>
    <t>Do Not Manufacture</t>
  </si>
  <si>
    <t>66141B</t>
  </si>
  <si>
    <t>CENTRE TUBE 31.8 X 22.225 X 242.5mm</t>
  </si>
  <si>
    <t>Saw Machine</t>
  </si>
  <si>
    <t>Arm Production</t>
  </si>
  <si>
    <t>66509</t>
  </si>
  <si>
    <t>Centre Tube 31.75x22.225x237.5</t>
  </si>
  <si>
    <t>66511</t>
  </si>
  <si>
    <t>Welded Assembly TA350 RH</t>
  </si>
  <si>
    <t>Welding Robot</t>
  </si>
  <si>
    <t>A-Arm</t>
  </si>
  <si>
    <t>66579-2</t>
  </si>
  <si>
    <t>33mm A/F Hex Alloy Bar - Black</t>
  </si>
  <si>
    <t>Component</t>
  </si>
  <si>
    <t>66628L-13</t>
  </si>
  <si>
    <t>Trailing Arm Welded Assembly LH - Blue</t>
  </si>
  <si>
    <t>Powder Coating</t>
  </si>
  <si>
    <t>Arm - Blue</t>
  </si>
  <si>
    <t>66628R-13</t>
  </si>
  <si>
    <t>Trailing Arm Welded Assembly RH - Blue</t>
  </si>
  <si>
    <t>67009</t>
  </si>
  <si>
    <t>TA238L WELDED ASSEMBLY</t>
  </si>
  <si>
    <t>67097-0</t>
  </si>
  <si>
    <t>85 Red Shell Bush Type 16 - Part Off</t>
  </si>
  <si>
    <t>67256-2</t>
  </si>
  <si>
    <t>85/82 Black Bush Type 1</t>
  </si>
  <si>
    <t>85 or 82 Black</t>
  </si>
  <si>
    <t>67479-2</t>
  </si>
  <si>
    <t>85/82 Black Bush Camaro Inserts Rr Des</t>
  </si>
  <si>
    <t>67481-2</t>
  </si>
  <si>
    <t>67848-2</t>
  </si>
  <si>
    <t>67914-2</t>
  </si>
  <si>
    <t>68312-2</t>
  </si>
  <si>
    <t>85 Black Bush Type 1 - Part Off</t>
  </si>
  <si>
    <t>68453-0</t>
  </si>
  <si>
    <t>85 Red Bush Type 4 - Split</t>
  </si>
  <si>
    <t>69052</t>
  </si>
  <si>
    <t>SWAY BAR LINK WELDED - M68-6810</t>
  </si>
  <si>
    <t>Double End Arm</t>
  </si>
  <si>
    <t>69159-2</t>
  </si>
  <si>
    <t>72 Black Bush - Part Off</t>
  </si>
  <si>
    <t>72 Black</t>
  </si>
  <si>
    <t>69162-3</t>
  </si>
  <si>
    <t>83 Blue Shell Bushing - Bonded - Part Off</t>
  </si>
  <si>
    <t>69205-0</t>
  </si>
  <si>
    <t>85 Red Bush Type 1 - Part Off</t>
  </si>
  <si>
    <t>69409-2</t>
  </si>
  <si>
    <t>85 Black Bushing Type 1 -  Part off</t>
  </si>
  <si>
    <t>7015-0</t>
  </si>
  <si>
    <t>85 Red Bush Type 1 (Use B1078-0)</t>
  </si>
  <si>
    <t>70170-2</t>
  </si>
  <si>
    <t>82 Black Shell Bush Type 17 - Bonded - Part Off - Post Swage</t>
  </si>
  <si>
    <t>82 Black</t>
  </si>
  <si>
    <t>74007-2</t>
  </si>
  <si>
    <t>72 Black Shell Bush W/PA Bearing</t>
  </si>
  <si>
    <t>82035PS-2</t>
  </si>
  <si>
    <t>72 Black Shell Bushing - Bonded -  Post Swaged 64 OD</t>
  </si>
  <si>
    <t>Swage Post Casting</t>
  </si>
  <si>
    <t>Production</t>
  </si>
  <si>
    <t>9032-440-2</t>
  </si>
  <si>
    <t>94 Black Bush - Part Off</t>
  </si>
  <si>
    <t>90898-2</t>
  </si>
  <si>
    <t>72 Black Bush Type Insert</t>
  </si>
  <si>
    <t>91067-2</t>
  </si>
  <si>
    <t>72 Black Bush Type 1+ W9172CBON</t>
  </si>
  <si>
    <t>91083-2</t>
  </si>
  <si>
    <t>91135-0</t>
  </si>
  <si>
    <t>85 Red Bushing Type 7</t>
  </si>
  <si>
    <t>91156-2</t>
  </si>
  <si>
    <t>94 Black Bush Type 1- Part Off</t>
  </si>
  <si>
    <t>91401-0</t>
  </si>
  <si>
    <t>85 Red Shell Bushing Type 17 - Part Off</t>
  </si>
  <si>
    <t>91450-2</t>
  </si>
  <si>
    <t>85/82 Black Bush Type 1 - Part Off</t>
  </si>
  <si>
    <t>91527-2</t>
  </si>
  <si>
    <t>72 Black Bush Type 4 - Split</t>
  </si>
  <si>
    <t>91670-0</t>
  </si>
  <si>
    <t>85 Red Bush</t>
  </si>
  <si>
    <t>91900-2</t>
  </si>
  <si>
    <t>85 Black Bush Type 9</t>
  </si>
  <si>
    <t>92001-2</t>
  </si>
  <si>
    <t>85 Black Bush D-Ring  Isolator</t>
  </si>
  <si>
    <t>92002-2</t>
  </si>
  <si>
    <t>85 Black Bush Washer</t>
  </si>
  <si>
    <t>92153-3</t>
  </si>
  <si>
    <t>83 Blue Shell Bushing Bonded - Part Off</t>
  </si>
  <si>
    <t>B1411-2</t>
  </si>
  <si>
    <t>85 Black Bush Type 1 Commonize Kit - Email Mr-Krist</t>
  </si>
  <si>
    <t>B2992-0</t>
  </si>
  <si>
    <t>BW11022</t>
  </si>
  <si>
    <t>BMW E36 Lh Bracket</t>
  </si>
  <si>
    <t>First Batch Component</t>
  </si>
  <si>
    <t>CA488</t>
  </si>
  <si>
    <t>ALLOY BRACKET</t>
  </si>
  <si>
    <t>Offsite Processing</t>
  </si>
  <si>
    <t>CB119L</t>
  </si>
  <si>
    <t>Bracket</t>
  </si>
  <si>
    <t>CB119R</t>
  </si>
  <si>
    <t>CB133</t>
  </si>
  <si>
    <t>CB974</t>
  </si>
  <si>
    <t>Bracket 70.5x32x3.5</t>
  </si>
  <si>
    <t>CR32-2</t>
  </si>
  <si>
    <t>72 Black Bush Type 10 - Part Off</t>
  </si>
  <si>
    <t>EP 800-80 MF</t>
  </si>
  <si>
    <t>Vibracure EP 800-80 MF/200 Kg DR/NN - Change to Vibracure 570</t>
  </si>
  <si>
    <t>Polymer</t>
  </si>
  <si>
    <t>F0480</t>
  </si>
  <si>
    <t>Tube 28.6x22.3x74</t>
  </si>
  <si>
    <t>Plating</t>
  </si>
  <si>
    <t>Crush Tube</t>
  </si>
  <si>
    <t>F0500</t>
  </si>
  <si>
    <t>Tube 31.8x25.4x77</t>
  </si>
  <si>
    <t>F0800</t>
  </si>
  <si>
    <t>Tube 16x11.3x64</t>
  </si>
  <si>
    <t>F1721-CD-CNC Drill</t>
  </si>
  <si>
    <t>Tube 19x14.3x73 Cross Drilled</t>
  </si>
  <si>
    <t>CNC Drill</t>
  </si>
  <si>
    <t>F1869</t>
  </si>
  <si>
    <t>Tube 19x14.5x60</t>
  </si>
  <si>
    <t>F8086-HRD</t>
  </si>
  <si>
    <t>Tube Special 22.3x16.2x61.8 Hardened</t>
  </si>
  <si>
    <t>Hardening</t>
  </si>
  <si>
    <t>F8095A-HRD</t>
  </si>
  <si>
    <t>Tube 22.2x18.25x80 - Hardened</t>
  </si>
  <si>
    <t>F8150-HRD</t>
  </si>
  <si>
    <t>Tube 22.3 x 16.2 x 59.8 Plated (Hardened)</t>
  </si>
  <si>
    <t>F8192</t>
  </si>
  <si>
    <t>Tube 24x12.3x51.7</t>
  </si>
  <si>
    <t>F9418</t>
  </si>
  <si>
    <t>Tube 22.4x16.5x60 - Hardened (Replace For F1730)</t>
  </si>
  <si>
    <t>F9427-HRD</t>
  </si>
  <si>
    <t>Tube 19.2x16.2x50 hardened (Replace for F1761)</t>
  </si>
  <si>
    <t>FG0012-000009</t>
  </si>
  <si>
    <t>Forged Eyelet Stub Alignment</t>
  </si>
  <si>
    <t>Forging</t>
  </si>
  <si>
    <t>FG0028-000004</t>
  </si>
  <si>
    <t>Forged End Ring</t>
  </si>
  <si>
    <t>RD Component</t>
  </si>
  <si>
    <t>FG0331-000000</t>
  </si>
  <si>
    <t>Diff Drop Bracket 2 - External Machining</t>
  </si>
  <si>
    <t>FOR-001-202-2</t>
  </si>
  <si>
    <t>72 Black Bush</t>
  </si>
  <si>
    <t>KEYRING</t>
  </si>
  <si>
    <t>Keyring metal loop</t>
  </si>
  <si>
    <t>Washer</t>
  </si>
  <si>
    <t>LF 930APBL</t>
  </si>
  <si>
    <t>93 Duro Part A Pigmented Blue</t>
  </si>
  <si>
    <t>MD-PEDDERSUCA</t>
  </si>
  <si>
    <t>PEDDERS UCA STICKER</t>
  </si>
  <si>
    <t>Packaging Materials</t>
  </si>
  <si>
    <t>NGQ506-2</t>
  </si>
  <si>
    <t>P6681-0</t>
  </si>
  <si>
    <t>85 Red Bush - Bonded - Parted Off</t>
  </si>
  <si>
    <t>PB1454F-2</t>
  </si>
  <si>
    <t>72 Black Bushing - Part Off</t>
  </si>
  <si>
    <t>PDLCM-CAST-1</t>
  </si>
  <si>
    <t>75 Yellow Bush Powerdown</t>
  </si>
  <si>
    <t>72 Yellow</t>
  </si>
  <si>
    <t>PL-382</t>
  </si>
  <si>
    <t>Flat Plate 105x32x5mm - Hard Plastic Black</t>
  </si>
  <si>
    <t>RC0007RZ-27-GRD</t>
  </si>
  <si>
    <t>Ground Sway Bar 27mm Welded with LC3-27</t>
  </si>
  <si>
    <t>Swaybar Production</t>
  </si>
  <si>
    <t>Raw Sway Bar - Grind</t>
  </si>
  <si>
    <t>RC0054R-30-GRD</t>
  </si>
  <si>
    <t>Ground Sway Bar 30 mm</t>
  </si>
  <si>
    <t>RC0116FZ-42</t>
  </si>
  <si>
    <t>LC300 Front Sway Bar 42mm</t>
  </si>
  <si>
    <t>Retail Kit</t>
  </si>
  <si>
    <t>RC0116FZ-42-13</t>
  </si>
  <si>
    <t>Sway Bar 42 mm - Blue</t>
  </si>
  <si>
    <t>Sway Bar - Blue</t>
  </si>
  <si>
    <t>RC0116FZ-42-9</t>
  </si>
  <si>
    <t>Sway Bar 42mm - Silver</t>
  </si>
  <si>
    <t>Sway Bar - Silver</t>
  </si>
  <si>
    <t>RC33</t>
  </si>
  <si>
    <t>Sway Bar 24mm - Unpowder Coated</t>
  </si>
  <si>
    <t>RN-71019</t>
  </si>
  <si>
    <t>PA46 BEARING TUBE 29.40X22.29X66.50</t>
  </si>
  <si>
    <t>PC Tube</t>
  </si>
  <si>
    <t>RN-71136</t>
  </si>
  <si>
    <t>PA46 BEARING TUBE 29.4X22.29X49.5 part off RN-71019</t>
  </si>
  <si>
    <t>Manual Lathe</t>
  </si>
  <si>
    <t>RTS12.7X10H</t>
  </si>
  <si>
    <t>Raw Tube Steel 12.7x10 Tol +/-0.05-AISI 1045</t>
  </si>
  <si>
    <t>Steel</t>
  </si>
  <si>
    <t>RTS24X16.2</t>
  </si>
  <si>
    <t>Raw Tube Steel 24x16.2-AISI 1045</t>
  </si>
  <si>
    <t>RTS27x16.3</t>
  </si>
  <si>
    <t>Raw Tube Steel 27X16.3 Tol +/-0.05-AISI 1045</t>
  </si>
  <si>
    <t>RTS30x16H</t>
  </si>
  <si>
    <t>Raw Tube Steel 30x16 Tol +/-0.05-AISI 1045 - Change to RTS30x16.2 when use up stock</t>
  </si>
  <si>
    <t>RTS32X16.3H</t>
  </si>
  <si>
    <t>Raw Tube Steel 32x16.3 Tol +/-0.05-AISI 1045</t>
  </si>
  <si>
    <t>RTS34.9X31.6</t>
  </si>
  <si>
    <t>Raw Tube Steel 34.9x31.6-AISI 1020</t>
  </si>
  <si>
    <t>S-20254Z</t>
  </si>
  <si>
    <t>Shell 62.5X44.3X58 - FL</t>
  </si>
  <si>
    <t>Shell</t>
  </si>
  <si>
    <t>S-67999</t>
  </si>
  <si>
    <t>Shell FL Swage</t>
  </si>
  <si>
    <t>Shell Build</t>
  </si>
  <si>
    <t>SAB300-1</t>
  </si>
  <si>
    <t>75 Yellow Bush Type 7</t>
  </si>
  <si>
    <t>SBB003</t>
  </si>
  <si>
    <t>Strut Brace Bar</t>
  </si>
  <si>
    <t>SBB658</t>
  </si>
  <si>
    <t>Centre Strut Brace Bar</t>
  </si>
  <si>
    <t>SPF0076-27-2</t>
  </si>
  <si>
    <t>94 Black Bush - Split</t>
  </si>
  <si>
    <t>SPF0173-70-3</t>
  </si>
  <si>
    <t>72 Blue Bush</t>
  </si>
  <si>
    <t>72 Blue</t>
  </si>
  <si>
    <t>SPF0183-2</t>
  </si>
  <si>
    <t>94 Black Bush</t>
  </si>
  <si>
    <t>SPF0202-25.4-2</t>
  </si>
  <si>
    <t>SPF0239-0</t>
  </si>
  <si>
    <t>94 Red Bush Type 1 - Part Off</t>
  </si>
  <si>
    <t>SPF0343-24-0</t>
  </si>
  <si>
    <t>85 Red Bush - Split</t>
  </si>
  <si>
    <t>SPF0385-0</t>
  </si>
  <si>
    <t>94 Red Bush</t>
  </si>
  <si>
    <t>SPF0445TIC</t>
  </si>
  <si>
    <t>Tube 27x16.3x50</t>
  </si>
  <si>
    <t>SPF0593-0</t>
  </si>
  <si>
    <t>85 Red Bush - Parted Off</t>
  </si>
  <si>
    <t>SPF0604-19-3</t>
  </si>
  <si>
    <t>83 Blue Bushing - Split</t>
  </si>
  <si>
    <t>SPF0628-22-3</t>
  </si>
  <si>
    <t>SPF0643T</t>
  </si>
  <si>
    <t>Tube 20x12.3x52</t>
  </si>
  <si>
    <t>SPF0708-20-3</t>
  </si>
  <si>
    <t>SPF0731-17.5-2</t>
  </si>
  <si>
    <t>SPF0758F-2</t>
  </si>
  <si>
    <t>94 Black Bush Type 1 - Part Off</t>
  </si>
  <si>
    <t>SPF0769L-3</t>
  </si>
  <si>
    <t>93 Blue Bush</t>
  </si>
  <si>
    <t>93 Blue</t>
  </si>
  <si>
    <t>SPF0827-3</t>
  </si>
  <si>
    <t>83 Blue Bushing - Part Off</t>
  </si>
  <si>
    <t>SPF0842-2</t>
  </si>
  <si>
    <t>SPF0883-3</t>
  </si>
  <si>
    <t>93 Blue Bush - Parted Off</t>
  </si>
  <si>
    <t>SPF1025-24-3</t>
  </si>
  <si>
    <t>SPF1034-3</t>
  </si>
  <si>
    <t>SPF1050-3</t>
  </si>
  <si>
    <t>72 Blue Bush - Parted Off</t>
  </si>
  <si>
    <t>SPF1060-22-3</t>
  </si>
  <si>
    <t>83 Blue Bushing</t>
  </si>
  <si>
    <t>SPF1193R-0</t>
  </si>
  <si>
    <t>SPF1233-23-3</t>
  </si>
  <si>
    <t>SPF1250-18-3</t>
  </si>
  <si>
    <t>SPF1303-0</t>
  </si>
  <si>
    <t>SPF1383-20-0</t>
  </si>
  <si>
    <t>SPF1435-0</t>
  </si>
  <si>
    <t>SPF1454-25-3</t>
  </si>
  <si>
    <t>93 Blue Bush - Split</t>
  </si>
  <si>
    <t>SPF1478-24-3</t>
  </si>
  <si>
    <t>SPF1512-31-3</t>
  </si>
  <si>
    <t>SPF1539-30-3</t>
  </si>
  <si>
    <t>SPF1571-16-32-3</t>
  </si>
  <si>
    <t>SPF1576-3</t>
  </si>
  <si>
    <t>SPF1609-3</t>
  </si>
  <si>
    <t>93 Blue Bush - Bonded - Parted Off</t>
  </si>
  <si>
    <t>SPF1697-25-3</t>
  </si>
  <si>
    <t>93 Blue Bush Type 1 - Split</t>
  </si>
  <si>
    <t>SPF1713-23-3</t>
  </si>
  <si>
    <t>SPF1778B-3</t>
  </si>
  <si>
    <t>SPF1846-31-3</t>
  </si>
  <si>
    <t>SPF1848-3</t>
  </si>
  <si>
    <t>SPF1853-2</t>
  </si>
  <si>
    <t>94 Black Bush Type 1</t>
  </si>
  <si>
    <t>SPF1897-0</t>
  </si>
  <si>
    <t>SPF1999-0</t>
  </si>
  <si>
    <t>SPF2091-3</t>
  </si>
  <si>
    <t>83 Blue Bushing - Bonded - Part Off</t>
  </si>
  <si>
    <t>SPF2134-90-3</t>
  </si>
  <si>
    <t>93 Blue Bushing - Part Off</t>
  </si>
  <si>
    <t>SPF2179-2</t>
  </si>
  <si>
    <t>85/82 Black Bushing - Part Off</t>
  </si>
  <si>
    <t>RD Bushes</t>
  </si>
  <si>
    <t>SPF2196-2</t>
  </si>
  <si>
    <t>85/82 Black Bush - Parted Off</t>
  </si>
  <si>
    <t>SPF2216-3</t>
  </si>
  <si>
    <t>SPF2240-1</t>
  </si>
  <si>
    <t>94 Yellow Bush Type 1 - Part Off</t>
  </si>
  <si>
    <t>94 Yellow</t>
  </si>
  <si>
    <t>SPF2271-22-3</t>
  </si>
  <si>
    <t>83 Blue Bushing - Part Off - Split</t>
  </si>
  <si>
    <t>SPF2273-19-3</t>
  </si>
  <si>
    <t>SPF2307F-0</t>
  </si>
  <si>
    <t>94 Red Bush Type 1 - Part Off (new design will feature a large chamfer on the flange side)</t>
  </si>
  <si>
    <t>SPF2323-0</t>
  </si>
  <si>
    <t>SPF2399-23-3</t>
  </si>
  <si>
    <t>SPF2590-2</t>
  </si>
  <si>
    <t>85/82 Black Bush - Bonded - Parted Off</t>
  </si>
  <si>
    <t>SPF2593-23-3</t>
  </si>
  <si>
    <t>SPF2683-18-3</t>
  </si>
  <si>
    <t>SPF2772-0</t>
  </si>
  <si>
    <t>SPF2817-14-0</t>
  </si>
  <si>
    <t>SPF2871R-2</t>
  </si>
  <si>
    <t>85 Black Bush - Parted Off</t>
  </si>
  <si>
    <t>SPF3062L-3</t>
  </si>
  <si>
    <t>SPF3108-13-3</t>
  </si>
  <si>
    <t>83 Blue Bushing Type 9 - Split (Logo Mann)</t>
  </si>
  <si>
    <t>SPF3108-21-3</t>
  </si>
  <si>
    <t>SPF3285-2</t>
  </si>
  <si>
    <t>SPF3306-26-3</t>
  </si>
  <si>
    <t>SPF3448-39-3</t>
  </si>
  <si>
    <t>SPF3562-24-3</t>
  </si>
  <si>
    <t>SPF3588-0</t>
  </si>
  <si>
    <t>85 Red Bush Type 1 - Bonded - Part Off</t>
  </si>
  <si>
    <t>SPF3591-3</t>
  </si>
  <si>
    <t>SPF3593-3</t>
  </si>
  <si>
    <t>SPF3594-3</t>
  </si>
  <si>
    <t>SPF3603-45-3</t>
  </si>
  <si>
    <t>83 Blue Bushing - Split - Part Off</t>
  </si>
  <si>
    <t>SPF3695TIC</t>
  </si>
  <si>
    <t>Tube 28.57-22.1x16.3x75 Stepped</t>
  </si>
  <si>
    <t>CNC</t>
  </si>
  <si>
    <t>SPF3809-90-3</t>
  </si>
  <si>
    <t>93 Blue Shell Bush - Part Off</t>
  </si>
  <si>
    <t>SPF3967-3</t>
  </si>
  <si>
    <t>SPF3992-25-3</t>
  </si>
  <si>
    <t>SPF4032-3</t>
  </si>
  <si>
    <t>83 Blue Bushing - Cleaned Washer - Part Off</t>
  </si>
  <si>
    <t>SPF4185T</t>
  </si>
  <si>
    <t>TUBE 22.2X12.3X69.5 OFFSET</t>
  </si>
  <si>
    <t>SPF4205-29-2</t>
  </si>
  <si>
    <t>85 Black Shell Bushing Type 17 - Part Off</t>
  </si>
  <si>
    <t>SPF4350L-0</t>
  </si>
  <si>
    <t>85 Red Bush - Cleaned- Parted Off</t>
  </si>
  <si>
    <t>SPF4382-23-3</t>
  </si>
  <si>
    <t>SPF4653L-3</t>
  </si>
  <si>
    <t>SPF4653R-3</t>
  </si>
  <si>
    <t>SPF4764-34-2</t>
  </si>
  <si>
    <t>85/82 Black Bush - Split</t>
  </si>
  <si>
    <t>SPF5135-25-3</t>
  </si>
  <si>
    <t>SPF5264-3</t>
  </si>
  <si>
    <t>83 Blue Bushing Offset - Bonded - Part Off</t>
  </si>
  <si>
    <t>SPF5425-3</t>
  </si>
  <si>
    <t>93 Blue Bushing</t>
  </si>
  <si>
    <t>SPF5481-3</t>
  </si>
  <si>
    <t>SPF5495-2</t>
  </si>
  <si>
    <t>94 Black Shell Bush Type 17 - Bonded - Part Off</t>
  </si>
  <si>
    <t>ST96354</t>
  </si>
  <si>
    <t>Spherical Bearing 20181008</t>
  </si>
  <si>
    <t>Spherical Bearing</t>
  </si>
  <si>
    <t>SUB-001-607-2</t>
  </si>
  <si>
    <t>T-9171</t>
  </si>
  <si>
    <t>Tube 38X16.2X63 Offset and Knurled</t>
  </si>
  <si>
    <t>TTU775-2</t>
  </si>
  <si>
    <t xml:space="preserve">85 Black Bush Type 1-DKS </t>
  </si>
  <si>
    <t>Vibracure 570</t>
  </si>
  <si>
    <t>Lanxess 83 MDI Curative</t>
  </si>
  <si>
    <t>Vibracure 570 BPBL</t>
  </si>
  <si>
    <t>83 Duro Part B Pigmented Blue</t>
  </si>
  <si>
    <t>VW11043B</t>
  </si>
  <si>
    <t>Audi/VW Bracket RHS</t>
  </si>
  <si>
    <t>W93452</t>
  </si>
  <si>
    <t>Wheel Nut 20 Pack - M12x1.25</t>
  </si>
  <si>
    <t>RD Retail Kit</t>
  </si>
  <si>
    <t>W93453</t>
  </si>
  <si>
    <t>Wheel Nut 20 Pack - M12x1.5</t>
  </si>
  <si>
    <t>First Batch Retail Kit</t>
  </si>
  <si>
    <t>X-ASM-EXT-105-0</t>
  </si>
  <si>
    <t>72 Red Bush</t>
  </si>
  <si>
    <t>72 Red</t>
  </si>
  <si>
    <t>Z5095</t>
  </si>
  <si>
    <t>Installation Guide</t>
  </si>
  <si>
    <t>Instruction Sheet</t>
  </si>
  <si>
    <t>Memo</t>
  </si>
  <si>
    <t>18/03/2024_RD are finding car to assembly then relea</t>
  </si>
  <si>
    <t>05/11/2024_Quang_Hàng NG kích thước lỗ côn</t>
  </si>
  <si>
    <t>04/06/2026_Quang_NCC giao sai mã thép</t>
  </si>
  <si>
    <t>21/4/2025- nứt rạn góc uốn xuất huỷ</t>
  </si>
  <si>
    <t>10/7/2024_VuqcPoly_Wrong ID forging</t>
  </si>
  <si>
    <t>06/05/2025_ Quang_ Chờ RD kiểm tra và duyệt mẫu</t>
  </si>
  <si>
    <t>27/08/2025_QuanIQC_NG ngoại quan chờ xử lý</t>
  </si>
  <si>
    <t>13/05/2026_Mai Phương _Hàng chờ huỷ hải quan</t>
  </si>
  <si>
    <t>30/3/2026_Vuqcpoly_Chờ credit note để huỷ</t>
  </si>
  <si>
    <t>06/03/2026_TBI bị NG thiếu keo_Chờ credit note để huỷ</t>
  </si>
  <si>
    <t>06/03/2026_TBI bị NG thiếu keo_ Chờ credit note để huỷ</t>
  </si>
  <si>
    <t>Decision</t>
  </si>
  <si>
    <t>Write off</t>
  </si>
  <si>
    <t>Waiting to prepare the list and submit it to Customs for adjustment.</t>
  </si>
  <si>
    <t>13/05/2026_Minh Đương _Hàng chờ huỷ hải quan</t>
  </si>
  <si>
    <t>On hold</t>
  </si>
  <si>
    <t>30/07/2026_Tư FGQC_Write-off</t>
  </si>
  <si>
    <t>06/08/2026_Quang_hàng NG</t>
  </si>
  <si>
    <t>8/7/2025_QCAN_66141B_LỖI THÉP NỨT</t>
  </si>
  <si>
    <t>27/06/2026_Tư FGQC_Hàng BNE - Ngoại quan màu</t>
  </si>
  <si>
    <t>11/05/2026_Tư FGQC_RN cũ (chờ xử lý, transfer để tạo WO)</t>
  </si>
  <si>
    <t>20/12/2025_Vuqcpoly_Thé ID 16.5 ( ID to) không chuyển mã được cần huỷ của Fuland</t>
  </si>
  <si>
    <t>17/3/2026_Khoa IQC hàng NG ngoại quan ID + kích thước</t>
  </si>
  <si>
    <t>11/10/2025_Vuqcpoly_Thép bong tróc bề mặt từ 2023 cần huỷ</t>
  </si>
  <si>
    <t>11/08/2026_Tư FGQC_Bush poor bonding =&gt; Write-off =&gt; Vu</t>
  </si>
  <si>
    <t>2/7/2025_QCAN_66509_LỖI THÉP NỨT</t>
  </si>
  <si>
    <t>11/8/2026_QcTan_ lỗi bọt khí mối hàn, chờ xuất huỷ</t>
  </si>
  <si>
    <t>23/06/2026_Tư FGQC_Tube NG do xử lý nhiệt</t>
  </si>
  <si>
    <t>23/7/2026_An_RN-71019_hàng NG ID</t>
  </si>
  <si>
    <t>LONG-TERM INVENTORY POLY Email MR THỌ &amp; ADRIAN 10.07.2026</t>
  </si>
  <si>
    <t>19/05/2026_Tư FGQC_Write-off</t>
  </si>
  <si>
    <t>5/8/2026_Tân SQE_NCC Return phôi NG</t>
  </si>
  <si>
    <t>12/5/2026_Khoa IQC hàng NG write-off chạy thử không được</t>
  </si>
  <si>
    <t>02/07/2026_Tư FGQC_Hàng Swaybar ZUK - Write-off</t>
  </si>
  <si>
    <t>16/07/2026_Quang_Hàng thiết kế cũ_ Charge phí RD</t>
  </si>
  <si>
    <t>20/7/2026_QcTan_lỗi bề mặt thép sần rỗ, chờ xuất huỷ</t>
  </si>
  <si>
    <t>31/7/2026_Vuqcpoly_Hàng NG ngoại quan</t>
  </si>
  <si>
    <t>04/06/2026_Tư FGQC_Tuấn RD yêu cầu hủy</t>
  </si>
  <si>
    <t>4/8/2026_Khoa IQC hàng đã sorting xong ngoại quan bị NG báo phế</t>
  </si>
  <si>
    <t>29/7/2026_An_SPF3695TIC_Lỗi thép NG ngoại quan ( nứt )</t>
  </si>
  <si>
    <t>20/07/2026_Tư FGQC_Case #2071</t>
  </si>
  <si>
    <t>6/7/2026_QcTan_hàng biến dạng FG do hỏng cánh quạt máy bắn bi</t>
  </si>
  <si>
    <t>27/5/2026_Vuqcpoly_Hàng RD xuất huỷ</t>
  </si>
  <si>
    <t>11/8/2026_Vuqcpoly_Bolt hàn không ngấu vào Plate</t>
  </si>
  <si>
    <t>5/8/2026_QcTan_ hàng NG lỗi nứt FG0146-000000, chờ xuất huỷ</t>
  </si>
  <si>
    <t>6/8/2026_An_SPF0445TIC_Lỗi thép ( nứt )</t>
  </si>
  <si>
    <t>7/8/2026_An_F8150-HRD_hàng không lọt dưỡng</t>
  </si>
  <si>
    <t>13/8/2026_Vuqcpoly_Hàng DAP mối hàn không ngấu</t>
  </si>
  <si>
    <t>12/08/2026_Tư FGQC_Bush nhám =&gt; hủy</t>
  </si>
  <si>
    <t>8/3/2026_An_RTS12.7X10H_Thép NG ID</t>
  </si>
  <si>
    <t>7/8/2026_An_F8086-HRD_hàng không lọt dưỡng</t>
  </si>
  <si>
    <t>10/8/2026_An_S-67999_hàng NG OD</t>
  </si>
  <si>
    <t>6/8/2026_An_F1869_Hàng NG lenght</t>
  </si>
  <si>
    <t>12/8/2026_An_F1721-CNC Drill_Hàng NG chiều dài</t>
  </si>
  <si>
    <t>23/06/2026_BUSH NG độ cứng, chờ hủy_Sang QC</t>
  </si>
  <si>
    <t>7/8/2026_An_F9427-HRD_hàng không lọt dưỡng</t>
  </si>
  <si>
    <t>7/8/2026_An_F8095A-HRD_hàng không lọt dưỡng</t>
  </si>
  <si>
    <t>23/09/2025_Tư FGQC_Wrong dimension (Angle)</t>
  </si>
  <si>
    <t>Aging day</t>
  </si>
  <si>
    <t>Date transfer</t>
  </si>
  <si>
    <t>Column1</t>
  </si>
  <si>
    <t>Remark</t>
  </si>
  <si>
    <t>transfer to Write-off to generate the demand and WO</t>
  </si>
  <si>
    <t>18/03/2024_RD are finding car to assembly then release</t>
  </si>
  <si>
    <t xml:space="preserve"> finding car to assembly then release</t>
  </si>
  <si>
    <t>NG steel from Fuland</t>
  </si>
  <si>
    <t xml:space="preserve">John Leighton asked  Pur to ask Elite then issue credit of some value that is reasonable for everyone - then write off </t>
  </si>
  <si>
    <t>Write off and charge for packing follow IFC (pedder sticker)</t>
  </si>
  <si>
    <t>Pur ordered sample with 503 pcs and all of them was NG</t>
  </si>
  <si>
    <t>Adjustment</t>
  </si>
  <si>
    <t>Vendor returrn</t>
  </si>
  <si>
    <t>Credit note released waiting WH for VR return</t>
  </si>
  <si>
    <t>23/5/2025_Vuqcpoly_Size thép đặt sai kích thước</t>
  </si>
  <si>
    <t xml:space="preserve">	01/06/2026_SANG QC_TBI Thiếu keo_CHờ hủy</t>
  </si>
  <si>
    <t>18/07/2026</t>
  </si>
  <si>
    <t>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</si>
</sst>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7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10" xfId="0" applyBorder="1" applyAlignment="1">
      <alignment horizontal="center" vertical="center"/>
    </xf>
    <xf numFmtId="43" fontId="0" fillId="0" borderId="10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3" fontId="0" fillId="0" borderId="0" xfId="1" applyFont="1"/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43" fontId="22" fillId="33" borderId="11" xfId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2" fillId="33" borderId="11" xfId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3" fontId="18" fillId="33" borderId="11" xfId="1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numFmt numFmtId="2" formatCode="0.00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67156-E67F-411F-9430-CE31B28DDA10}" name="Table13" displayName="Table13" ref="A1:R218" totalsRowShown="0" headerRowDxfId="22" dataDxfId="20" headerRowBorderDxfId="21" tableBorderDxfId="19" totalsRowBorderDxfId="18" headerRowCellStyle="Comma">
  <autoFilter ref="A1:R218" xr:uid="{27EFBAC1-E7FF-4C3F-BDA7-644013156F48}"/>
  <sortState ref="A2:R215">
    <sortCondition descending="1" ref="L1:L218"/>
  </sortState>
  <tableColumns count="18">
    <tableColumn id="1" xr3:uid="{768EBB49-84B4-4F19-A32C-F1863C721826}" name="Name" dataDxfId="17"/>
    <tableColumn id="2" xr3:uid="{C64B37F0-DFEA-416A-AF1D-506BC6851F5E}" name="Description" dataDxfId="16"/>
    <tableColumn id="3" xr3:uid="{E0DC1DE1-748E-4F1A-925A-8A9E4139F28A}" name="Location On Hand" dataDxfId="15"/>
    <tableColumn id="4" xr3:uid="{2EF92C93-0A72-4194-A211-9FB7CF85B6B6}" name="Inventory Location" dataDxfId="14"/>
    <tableColumn id="5" xr3:uid="{714B8A64-38E8-4E6B-95AB-2098196A4248}" name="Location Committed" dataDxfId="13"/>
    <tableColumn id="6" xr3:uid="{FA3EA4EF-392F-4AA1-88E1-F2FD4E61C605}" name="Available" dataDxfId="12"/>
    <tableColumn id="7" xr3:uid="{8953646E-2FB9-4711-A2FC-17BD44E6963C}" name="Work Order Group" dataDxfId="11"/>
    <tableColumn id="8" xr3:uid="{5E9AB63C-3A0A-4F5B-B45A-808612C98057}" name="Work Order Sub-Group" dataDxfId="10"/>
    <tableColumn id="9" xr3:uid="{15B70DFD-C650-4CF7-9E06-62E7EEF3CDC6}" name="Location Lead Time" dataDxfId="9"/>
    <tableColumn id="10" xr3:uid="{9245BE40-22EF-49C2-B855-B8833D16F013}" name="Location On Order" dataDxfId="8"/>
    <tableColumn id="11" xr3:uid="{AF7EB858-B5C6-403E-B112-C9D00133F86E}" name="Location Average Cost" dataDxfId="7"/>
    <tableColumn id="12" xr3:uid="{8DAAE40B-6F84-45E7-BDCA-BFC41C63B44E}" name="Location Total Value" dataDxfId="6" dataCellStyle="Comma"/>
    <tableColumn id="13" xr3:uid="{58822401-4330-4A13-BCE7-D0C7B56B0FC2}" name="Memo" dataDxfId="5"/>
    <tableColumn id="14" xr3:uid="{2A4224A0-3B93-42BA-89FA-D827F8A6CF96}" name="Decision" dataDxfId="4"/>
    <tableColumn id="18" xr3:uid="{E2AB3AF4-06B3-4F4E-8A01-837A2580950F}" name="Remark" dataDxfId="3"/>
    <tableColumn id="15" xr3:uid="{5C398B6F-D6C3-477B-841E-A6E2699D3D86}" name="Date transfer" dataDxfId="2">
      <calculatedColumnFormula>LEFT(M2,FIND("_",M2)-1)</calculatedColumnFormula>
    </tableColumn>
    <tableColumn id="16" xr3:uid="{91CD88A1-FADB-4BA6-B494-B02124B3F108}" name="Column1" dataDxfId="1"/>
    <tableColumn id="17" xr3:uid="{F9DD030C-A291-4CB6-8924-8E8535D9E5C5}" name="Aging day" dataDxfId="0">
      <calculatedColumnFormula>Table13[[#This Row],[Column1]]-TODAY()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DA03-1DF3-4BE2-91D7-DE0EE278F31D}">
  <dimension ref="A1:R218"/>
  <sheetViews>
    <sheetView tabSelected="1" topLeftCell="B1" workbookViewId="0">
      <selection activeCell="P23" sqref="P23"/>
    </sheetView>
  </sheetViews>
  <sheetFormatPr defaultRowHeight="10.199999999999999"/>
  <cols>
    <col min="1" max="1" width="16.5703125" customWidth="1"/>
    <col min="2" max="2" width="17.85546875" customWidth="1"/>
    <col min="6" max="6" width="11.28515625" style="4" bestFit="1" customWidth="1"/>
    <col min="12" max="12" width="20.5703125" customWidth="1"/>
    <col min="13" max="13" width="40.42578125" customWidth="1"/>
    <col min="14" max="14" width="21.5703125" customWidth="1"/>
    <col min="15" max="15" width="26" customWidth="1"/>
    <col min="16" max="16" width="19.5703125" customWidth="1"/>
    <col min="17" max="17" width="17.85546875" customWidth="1"/>
    <col min="18" max="18" width="17.42578125" customWidth="1"/>
  </cols>
  <sheetData>
    <row r="1" spans="1:18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7" t="s">
        <v>11</v>
      </c>
      <c r="M1" s="15" t="s">
        <v>446</v>
      </c>
      <c r="N1" s="16" t="s">
        <v>458</v>
      </c>
      <c r="O1" s="16" t="s">
        <v>508</v>
      </c>
      <c r="P1" s="17" t="s">
        <v>506</v>
      </c>
      <c r="Q1" s="17" t="s">
        <v>507</v>
      </c>
      <c r="R1" s="20" t="s">
        <v>505</v>
      </c>
    </row>
    <row r="2" spans="1:18">
      <c r="A2" s="7" t="s">
        <v>241</v>
      </c>
      <c r="B2" s="1" t="s">
        <v>242</v>
      </c>
      <c r="C2" s="1">
        <v>47</v>
      </c>
      <c r="D2" s="1" t="s">
        <v>14</v>
      </c>
      <c r="E2" s="1" t="s">
        <v>15</v>
      </c>
      <c r="F2" s="1">
        <v>47</v>
      </c>
      <c r="G2" s="1" t="s">
        <v>243</v>
      </c>
      <c r="H2" s="1" t="s">
        <v>30</v>
      </c>
      <c r="I2" s="1" t="s">
        <v>15</v>
      </c>
      <c r="J2" s="1" t="s">
        <v>15</v>
      </c>
      <c r="K2" s="1">
        <v>2193132.1702127699</v>
      </c>
      <c r="L2" s="2">
        <v>103077212</v>
      </c>
      <c r="M2" s="5" t="s">
        <v>510</v>
      </c>
      <c r="N2" s="8" t="s">
        <v>462</v>
      </c>
      <c r="O2" s="21" t="s">
        <v>511</v>
      </c>
      <c r="P2" s="3" t="str">
        <f t="shared" ref="P2:P65" si="0">LEFT(M2,FIND("_",M2)-1)</f>
        <v>18/03/2024</v>
      </c>
      <c r="Q2" s="18">
        <v>45369</v>
      </c>
      <c r="R2" s="19">
        <f ca="1">Table13[[#This Row],[Column1]]-TODAY()</f>
        <v>-880</v>
      </c>
    </row>
    <row r="3" spans="1:18">
      <c r="A3" s="7" t="s">
        <v>244</v>
      </c>
      <c r="B3" s="1" t="s">
        <v>245</v>
      </c>
      <c r="C3" s="1">
        <v>12</v>
      </c>
      <c r="D3" s="1" t="s">
        <v>14</v>
      </c>
      <c r="E3" s="1" t="s">
        <v>15</v>
      </c>
      <c r="F3" s="1">
        <v>12</v>
      </c>
      <c r="G3" s="1" t="s">
        <v>91</v>
      </c>
      <c r="H3" s="1" t="s">
        <v>246</v>
      </c>
      <c r="I3" s="1" t="s">
        <v>15</v>
      </c>
      <c r="J3" s="1" t="s">
        <v>15</v>
      </c>
      <c r="K3" s="1">
        <v>1789107.75</v>
      </c>
      <c r="L3" s="2">
        <v>21469293</v>
      </c>
      <c r="M3" s="5" t="s">
        <v>447</v>
      </c>
      <c r="N3" s="8" t="s">
        <v>462</v>
      </c>
      <c r="O3" s="8" t="s">
        <v>511</v>
      </c>
      <c r="P3" s="1" t="str">
        <f t="shared" si="0"/>
        <v>18/03/2024</v>
      </c>
      <c r="Q3" s="18">
        <v>45369</v>
      </c>
      <c r="R3" s="19">
        <f ca="1">Table13[[#This Row],[Column1]]-TODAY()</f>
        <v>-880</v>
      </c>
    </row>
    <row r="4" spans="1:18">
      <c r="A4" s="7" t="s">
        <v>247</v>
      </c>
      <c r="B4" s="1" t="s">
        <v>248</v>
      </c>
      <c r="C4" s="1">
        <v>48</v>
      </c>
      <c r="D4" s="1" t="s">
        <v>14</v>
      </c>
      <c r="E4" s="1" t="s">
        <v>15</v>
      </c>
      <c r="F4" s="1">
        <v>48</v>
      </c>
      <c r="G4" s="1" t="s">
        <v>91</v>
      </c>
      <c r="H4" s="1" t="s">
        <v>249</v>
      </c>
      <c r="I4" s="1" t="s">
        <v>15</v>
      </c>
      <c r="J4" s="1" t="s">
        <v>15</v>
      </c>
      <c r="K4" s="1">
        <v>1748672.75</v>
      </c>
      <c r="L4" s="2">
        <v>83936292</v>
      </c>
      <c r="M4" s="5" t="s">
        <v>447</v>
      </c>
      <c r="N4" s="8" t="s">
        <v>462</v>
      </c>
      <c r="O4" s="8" t="s">
        <v>511</v>
      </c>
      <c r="P4" s="1" t="str">
        <f t="shared" si="0"/>
        <v>18/03/2024</v>
      </c>
      <c r="Q4" s="18">
        <v>45369</v>
      </c>
      <c r="R4" s="19">
        <f ca="1">Table13[[#This Row],[Column1]]-TODAY()</f>
        <v>-880</v>
      </c>
    </row>
    <row r="5" spans="1:18">
      <c r="A5" s="7" t="s">
        <v>434</v>
      </c>
      <c r="B5" s="1" t="s">
        <v>435</v>
      </c>
      <c r="C5" s="1">
        <v>177</v>
      </c>
      <c r="D5" s="1" t="s">
        <v>14</v>
      </c>
      <c r="E5" s="1" t="s">
        <v>15</v>
      </c>
      <c r="F5" s="1">
        <v>177</v>
      </c>
      <c r="G5" s="1" t="s">
        <v>436</v>
      </c>
      <c r="H5" s="1" t="s">
        <v>70</v>
      </c>
      <c r="I5" s="1" t="s">
        <v>15</v>
      </c>
      <c r="J5" s="1" t="s">
        <v>15</v>
      </c>
      <c r="K5" s="1">
        <v>623036.63841808005</v>
      </c>
      <c r="L5" s="2">
        <v>110277485</v>
      </c>
      <c r="M5" s="1" t="s">
        <v>504</v>
      </c>
      <c r="N5" s="8" t="s">
        <v>459</v>
      </c>
      <c r="O5" s="8" t="s">
        <v>513</v>
      </c>
      <c r="P5" s="1" t="str">
        <f t="shared" si="0"/>
        <v>23/09/2025</v>
      </c>
      <c r="Q5" s="18">
        <v>45923</v>
      </c>
      <c r="R5" s="19">
        <f ca="1">Table13[[#This Row],[Column1]]-TODAY()</f>
        <v>-326</v>
      </c>
    </row>
    <row r="6" spans="1:18">
      <c r="A6" s="7" t="s">
        <v>437</v>
      </c>
      <c r="B6" s="1" t="s">
        <v>438</v>
      </c>
      <c r="C6" s="1">
        <v>161</v>
      </c>
      <c r="D6" s="1" t="s">
        <v>14</v>
      </c>
      <c r="E6" s="1" t="s">
        <v>15</v>
      </c>
      <c r="F6" s="1">
        <v>161</v>
      </c>
      <c r="G6" s="1" t="s">
        <v>439</v>
      </c>
      <c r="H6" s="1" t="s">
        <v>70</v>
      </c>
      <c r="I6" s="1" t="s">
        <v>15</v>
      </c>
      <c r="J6" s="1" t="s">
        <v>15</v>
      </c>
      <c r="K6" s="1">
        <v>646401.57763974997</v>
      </c>
      <c r="L6" s="2">
        <v>104070654</v>
      </c>
      <c r="M6" s="1" t="s">
        <v>504</v>
      </c>
      <c r="N6" s="8" t="s">
        <v>459</v>
      </c>
      <c r="O6" s="8" t="s">
        <v>513</v>
      </c>
      <c r="P6" s="1" t="str">
        <f t="shared" si="0"/>
        <v>23/09/2025</v>
      </c>
      <c r="Q6" s="18">
        <v>45923</v>
      </c>
      <c r="R6" s="19">
        <f ca="1">Table13[[#This Row],[Column1]]-TODAY()</f>
        <v>-326</v>
      </c>
    </row>
    <row r="7" spans="1:18">
      <c r="A7" s="7" t="s">
        <v>222</v>
      </c>
      <c r="B7" s="1" t="s">
        <v>223</v>
      </c>
      <c r="C7" s="1">
        <v>2450</v>
      </c>
      <c r="D7" s="1" t="s">
        <v>14</v>
      </c>
      <c r="E7" s="1" t="s">
        <v>15</v>
      </c>
      <c r="F7" s="1">
        <v>2450</v>
      </c>
      <c r="G7" s="1" t="s">
        <v>224</v>
      </c>
      <c r="H7" s="1" t="s">
        <v>30</v>
      </c>
      <c r="I7" s="1" t="s">
        <v>15</v>
      </c>
      <c r="J7" s="1" t="s">
        <v>15</v>
      </c>
      <c r="K7" s="1">
        <v>19911.09387755</v>
      </c>
      <c r="L7" s="2">
        <v>48782180</v>
      </c>
      <c r="M7" s="1" t="s">
        <v>463</v>
      </c>
      <c r="N7" s="8" t="s">
        <v>459</v>
      </c>
      <c r="O7" s="8" t="s">
        <v>514</v>
      </c>
      <c r="P7" s="1" t="str">
        <f t="shared" si="0"/>
        <v>30/07/2026</v>
      </c>
      <c r="Q7" s="18">
        <v>46233</v>
      </c>
      <c r="R7" s="19">
        <f ca="1">Table13[[#This Row],[Column1]]-TODAY()</f>
        <v>-16</v>
      </c>
    </row>
    <row r="8" spans="1:18">
      <c r="A8" s="6" t="s">
        <v>210</v>
      </c>
      <c r="B8" s="1" t="s">
        <v>211</v>
      </c>
      <c r="C8" s="1">
        <v>503</v>
      </c>
      <c r="D8" s="1" t="s">
        <v>14</v>
      </c>
      <c r="E8" s="1" t="s">
        <v>15</v>
      </c>
      <c r="F8" s="1">
        <v>503</v>
      </c>
      <c r="G8" s="1" t="s">
        <v>212</v>
      </c>
      <c r="H8" s="1" t="s">
        <v>30</v>
      </c>
      <c r="I8" s="1" t="s">
        <v>15</v>
      </c>
      <c r="J8" s="1" t="s">
        <v>15</v>
      </c>
      <c r="K8" s="1">
        <v>70000</v>
      </c>
      <c r="L8" s="2">
        <v>35210000</v>
      </c>
      <c r="M8" s="5" t="s">
        <v>452</v>
      </c>
      <c r="N8" s="8" t="s">
        <v>459</v>
      </c>
      <c r="O8" s="8" t="s">
        <v>515</v>
      </c>
      <c r="P8" s="1" t="str">
        <f t="shared" si="0"/>
        <v>06/05/2025</v>
      </c>
      <c r="Q8" s="18">
        <v>45783</v>
      </c>
      <c r="R8" s="19">
        <f ca="1">Table13[[#This Row],[Column1]]-TODAY()</f>
        <v>-466</v>
      </c>
    </row>
    <row r="9" spans="1:18">
      <c r="A9" s="7" t="s">
        <v>213</v>
      </c>
      <c r="B9" s="1" t="s">
        <v>214</v>
      </c>
      <c r="C9" s="1">
        <v>100</v>
      </c>
      <c r="D9" s="1" t="s">
        <v>14</v>
      </c>
      <c r="E9" s="1" t="s">
        <v>15</v>
      </c>
      <c r="F9" s="1">
        <v>100</v>
      </c>
      <c r="G9" s="1" t="s">
        <v>166</v>
      </c>
      <c r="H9" s="1" t="s">
        <v>30</v>
      </c>
      <c r="I9" s="1" t="s">
        <v>15</v>
      </c>
      <c r="J9" s="1" t="s">
        <v>15</v>
      </c>
      <c r="K9" s="1">
        <v>206991</v>
      </c>
      <c r="L9" s="2">
        <v>20699100</v>
      </c>
      <c r="M9" s="1" t="s">
        <v>464</v>
      </c>
      <c r="N9" s="8" t="s">
        <v>459</v>
      </c>
      <c r="O9" s="8"/>
      <c r="P9" s="1" t="str">
        <f t="shared" si="0"/>
        <v>06/08/2026</v>
      </c>
      <c r="Q9" s="18">
        <v>46240</v>
      </c>
      <c r="R9" s="19">
        <f ca="1">Table13[[#This Row],[Column1]]-TODAY()</f>
        <v>-9</v>
      </c>
    </row>
    <row r="10" spans="1:18">
      <c r="A10" s="7" t="s">
        <v>76</v>
      </c>
      <c r="B10" s="1" t="s">
        <v>77</v>
      </c>
      <c r="C10" s="1">
        <v>412</v>
      </c>
      <c r="D10" s="1" t="s">
        <v>14</v>
      </c>
      <c r="E10" s="1" t="s">
        <v>15</v>
      </c>
      <c r="F10" s="1">
        <v>412</v>
      </c>
      <c r="G10" s="1" t="s">
        <v>78</v>
      </c>
      <c r="H10" s="1" t="s">
        <v>79</v>
      </c>
      <c r="I10" s="1" t="s">
        <v>15</v>
      </c>
      <c r="J10" s="1" t="s">
        <v>15</v>
      </c>
      <c r="K10" s="1">
        <v>43457.473300969999</v>
      </c>
      <c r="L10" s="2">
        <v>17904479</v>
      </c>
      <c r="M10" s="1" t="s">
        <v>465</v>
      </c>
      <c r="N10" s="8" t="s">
        <v>459</v>
      </c>
      <c r="O10" s="8" t="s">
        <v>512</v>
      </c>
      <c r="P10" s="1" t="str">
        <f t="shared" si="0"/>
        <v>8/7/2025</v>
      </c>
      <c r="Q10" s="18">
        <v>45846</v>
      </c>
      <c r="R10" s="19">
        <f ca="1">Table13[[#This Row],[Column1]]-TODAY()</f>
        <v>-403</v>
      </c>
    </row>
    <row r="11" spans="1:18">
      <c r="A11" s="7" t="s">
        <v>408</v>
      </c>
      <c r="B11" s="1" t="s">
        <v>350</v>
      </c>
      <c r="C11" s="1">
        <v>110</v>
      </c>
      <c r="D11" s="1" t="s">
        <v>14</v>
      </c>
      <c r="E11" s="1" t="s">
        <v>15</v>
      </c>
      <c r="F11" s="1">
        <v>110</v>
      </c>
      <c r="G11" s="1" t="s">
        <v>16</v>
      </c>
      <c r="H11" s="1" t="s">
        <v>62</v>
      </c>
      <c r="I11" s="1" t="s">
        <v>15</v>
      </c>
      <c r="J11" s="1" t="s">
        <v>15</v>
      </c>
      <c r="K11" s="1">
        <v>162288.96363635999</v>
      </c>
      <c r="L11" s="2">
        <v>17851786</v>
      </c>
      <c r="M11" s="1" t="s">
        <v>466</v>
      </c>
      <c r="N11" s="8" t="s">
        <v>459</v>
      </c>
      <c r="O11" s="8"/>
      <c r="P11" s="1" t="str">
        <f t="shared" si="0"/>
        <v>27/06/2026</v>
      </c>
      <c r="Q11" s="18">
        <v>46200</v>
      </c>
      <c r="R11" s="19">
        <f ca="1">Table13[[#This Row],[Column1]]-TODAY()</f>
        <v>-49</v>
      </c>
    </row>
    <row r="12" spans="1:18">
      <c r="A12" s="7" t="s">
        <v>265</v>
      </c>
      <c r="B12" s="1" t="s">
        <v>266</v>
      </c>
      <c r="C12" s="1">
        <v>100.28006000000001</v>
      </c>
      <c r="D12" s="1" t="s">
        <v>14</v>
      </c>
      <c r="E12" s="1" t="s">
        <v>15</v>
      </c>
      <c r="F12" s="1">
        <v>100.28006000000001</v>
      </c>
      <c r="G12" s="1" t="s">
        <v>260</v>
      </c>
      <c r="H12" s="1" t="s">
        <v>70</v>
      </c>
      <c r="I12" s="1" t="s">
        <v>15</v>
      </c>
      <c r="J12" s="1" t="s">
        <v>15</v>
      </c>
      <c r="K12" s="1">
        <v>168106.27829573999</v>
      </c>
      <c r="L12" s="2">
        <v>16857708</v>
      </c>
      <c r="M12" s="1" t="s">
        <v>468</v>
      </c>
      <c r="N12" s="8" t="s">
        <v>459</v>
      </c>
      <c r="O12" s="8" t="s">
        <v>512</v>
      </c>
      <c r="P12" s="1" t="str">
        <f t="shared" si="0"/>
        <v>20/12/2025</v>
      </c>
      <c r="Q12" s="18">
        <v>46011</v>
      </c>
      <c r="R12" s="19">
        <f ca="1">Table13[[#This Row],[Column1]]-TODAY()</f>
        <v>-238</v>
      </c>
    </row>
    <row r="13" spans="1:18">
      <c r="A13" s="7" t="s">
        <v>401</v>
      </c>
      <c r="B13" s="1" t="s">
        <v>402</v>
      </c>
      <c r="C13" s="1">
        <v>186</v>
      </c>
      <c r="D13" s="1" t="s">
        <v>14</v>
      </c>
      <c r="E13" s="1" t="s">
        <v>15</v>
      </c>
      <c r="F13" s="1">
        <v>186</v>
      </c>
      <c r="G13" s="1" t="s">
        <v>184</v>
      </c>
      <c r="H13" s="1" t="s">
        <v>30</v>
      </c>
      <c r="I13" s="1" t="s">
        <v>15</v>
      </c>
      <c r="J13" s="1" t="s">
        <v>15</v>
      </c>
      <c r="K13" s="1">
        <v>88424.623655910007</v>
      </c>
      <c r="L13" s="2">
        <v>16446980</v>
      </c>
      <c r="M13" s="1" t="s">
        <v>469</v>
      </c>
      <c r="N13" s="8" t="s">
        <v>459</v>
      </c>
      <c r="O13" s="8"/>
      <c r="P13" s="1" t="str">
        <f t="shared" si="0"/>
        <v>17/3/2026</v>
      </c>
      <c r="Q13" s="18">
        <v>46098</v>
      </c>
      <c r="R13" s="19">
        <f ca="1">Table13[[#This Row],[Column1]]-TODAY()</f>
        <v>-151</v>
      </c>
    </row>
    <row r="14" spans="1:18">
      <c r="A14" s="7" t="s">
        <v>267</v>
      </c>
      <c r="B14" s="1" t="s">
        <v>268</v>
      </c>
      <c r="C14" s="1">
        <v>49.997770000000003</v>
      </c>
      <c r="D14" s="1" t="s">
        <v>14</v>
      </c>
      <c r="E14" s="1" t="s">
        <v>15</v>
      </c>
      <c r="F14" s="1">
        <v>49.997770000000003</v>
      </c>
      <c r="G14" s="1" t="s">
        <v>260</v>
      </c>
      <c r="H14" s="1" t="s">
        <v>30</v>
      </c>
      <c r="I14" s="1" t="s">
        <v>15</v>
      </c>
      <c r="J14" s="1" t="s">
        <v>15</v>
      </c>
      <c r="K14" s="1">
        <v>223644.97483425</v>
      </c>
      <c r="L14" s="2">
        <v>11181750</v>
      </c>
      <c r="M14" s="1" t="s">
        <v>470</v>
      </c>
      <c r="N14" s="8" t="s">
        <v>459</v>
      </c>
      <c r="O14" s="8"/>
      <c r="P14" s="1" t="str">
        <f t="shared" si="0"/>
        <v>11/10/2025</v>
      </c>
      <c r="Q14" s="18">
        <v>45941</v>
      </c>
      <c r="R14" s="19">
        <f ca="1">Table13[[#This Row],[Column1]]-TODAY()</f>
        <v>-308</v>
      </c>
    </row>
    <row r="15" spans="1:18">
      <c r="A15" s="6" t="s">
        <v>167</v>
      </c>
      <c r="B15" s="1" t="s">
        <v>168</v>
      </c>
      <c r="C15" s="1">
        <v>71</v>
      </c>
      <c r="D15" s="1" t="s">
        <v>14</v>
      </c>
      <c r="E15" s="1" t="s">
        <v>15</v>
      </c>
      <c r="F15" s="1">
        <v>71</v>
      </c>
      <c r="G15" s="1" t="s">
        <v>169</v>
      </c>
      <c r="H15" s="1" t="s">
        <v>88</v>
      </c>
      <c r="I15" s="1" t="s">
        <v>15</v>
      </c>
      <c r="J15" s="1" t="s">
        <v>15</v>
      </c>
      <c r="K15" s="1">
        <v>155821.05633803</v>
      </c>
      <c r="L15" s="2">
        <v>11063295</v>
      </c>
      <c r="M15" s="5" t="s">
        <v>453</v>
      </c>
      <c r="N15" s="8" t="s">
        <v>459</v>
      </c>
      <c r="O15" s="8"/>
      <c r="P15" s="1" t="str">
        <f t="shared" si="0"/>
        <v>27/08/2025</v>
      </c>
      <c r="Q15" s="18">
        <v>45896</v>
      </c>
      <c r="R15" s="19">
        <f ca="1">Table13[[#This Row],[Column1]]-TODAY()</f>
        <v>-353</v>
      </c>
    </row>
    <row r="16" spans="1:18">
      <c r="A16" s="7" t="s">
        <v>31</v>
      </c>
      <c r="B16" s="1" t="s">
        <v>32</v>
      </c>
      <c r="C16" s="1">
        <v>176290</v>
      </c>
      <c r="D16" s="1" t="s">
        <v>14</v>
      </c>
      <c r="E16" s="1" t="s">
        <v>15</v>
      </c>
      <c r="F16" s="1">
        <v>176290</v>
      </c>
      <c r="G16" s="1" t="s">
        <v>29</v>
      </c>
      <c r="H16" s="1" t="s">
        <v>30</v>
      </c>
      <c r="I16" s="1" t="s">
        <v>15</v>
      </c>
      <c r="J16" s="1" t="s">
        <v>15</v>
      </c>
      <c r="K16" s="1">
        <v>150.66246526</v>
      </c>
      <c r="L16" s="2">
        <v>26560286</v>
      </c>
      <c r="M16" s="5" t="s">
        <v>456</v>
      </c>
      <c r="N16" s="8" t="s">
        <v>517</v>
      </c>
      <c r="O16" s="8" t="s">
        <v>518</v>
      </c>
      <c r="P16" s="1" t="str">
        <f t="shared" si="0"/>
        <v>06/03/2026</v>
      </c>
      <c r="Q16" s="18">
        <v>46087</v>
      </c>
      <c r="R16" s="19">
        <f ca="1">Table13[[#This Row],[Column1]]-TODAY()</f>
        <v>-162</v>
      </c>
    </row>
    <row r="17" spans="1:18">
      <c r="A17" s="7" t="s">
        <v>35</v>
      </c>
      <c r="B17" s="1" t="s">
        <v>36</v>
      </c>
      <c r="C17" s="1">
        <v>23790</v>
      </c>
      <c r="D17" s="1" t="s">
        <v>14</v>
      </c>
      <c r="E17" s="1" t="s">
        <v>15</v>
      </c>
      <c r="F17" s="1">
        <v>23790</v>
      </c>
      <c r="G17" s="1" t="s">
        <v>29</v>
      </c>
      <c r="H17" s="1" t="s">
        <v>30</v>
      </c>
      <c r="I17" s="1" t="s">
        <v>15</v>
      </c>
      <c r="J17" s="1" t="s">
        <v>15</v>
      </c>
      <c r="K17" s="1">
        <v>176.52454813</v>
      </c>
      <c r="L17" s="2">
        <v>4199519</v>
      </c>
      <c r="M17" s="5" t="s">
        <v>457</v>
      </c>
      <c r="N17" s="8" t="s">
        <v>517</v>
      </c>
      <c r="O17" s="8" t="s">
        <v>518</v>
      </c>
      <c r="P17" s="1" t="str">
        <f t="shared" si="0"/>
        <v>06/03/2026</v>
      </c>
      <c r="Q17" s="18">
        <v>46087</v>
      </c>
      <c r="R17" s="19">
        <f ca="1">Table13[[#This Row],[Column1]]-TODAY()</f>
        <v>-162</v>
      </c>
    </row>
    <row r="18" spans="1:18">
      <c r="A18" s="7" t="s">
        <v>207</v>
      </c>
      <c r="B18" s="1" t="s">
        <v>208</v>
      </c>
      <c r="C18" s="1">
        <v>93</v>
      </c>
      <c r="D18" s="1" t="s">
        <v>14</v>
      </c>
      <c r="E18" s="1" t="s">
        <v>15</v>
      </c>
      <c r="F18" s="1">
        <v>93</v>
      </c>
      <c r="G18" s="1" t="s">
        <v>209</v>
      </c>
      <c r="H18" s="1" t="s">
        <v>30</v>
      </c>
      <c r="I18" s="1" t="s">
        <v>15</v>
      </c>
      <c r="J18" s="1" t="s">
        <v>15</v>
      </c>
      <c r="K18" s="1">
        <v>104815.30107527001</v>
      </c>
      <c r="L18" s="2">
        <v>9747823</v>
      </c>
      <c r="M18" s="5" t="s">
        <v>451</v>
      </c>
      <c r="N18" s="8" t="s">
        <v>459</v>
      </c>
      <c r="O18" s="8"/>
      <c r="P18" s="1" t="str">
        <f t="shared" si="0"/>
        <v>10/7/2024</v>
      </c>
      <c r="Q18" s="18">
        <v>45483</v>
      </c>
      <c r="R18" s="19">
        <f ca="1">Table13[[#This Row],[Column1]]-TODAY()</f>
        <v>-766</v>
      </c>
    </row>
    <row r="19" spans="1:18">
      <c r="A19" s="7" t="s">
        <v>128</v>
      </c>
      <c r="B19" s="1" t="s">
        <v>129</v>
      </c>
      <c r="C19" s="1">
        <v>138</v>
      </c>
      <c r="D19" s="1" t="s">
        <v>14</v>
      </c>
      <c r="E19" s="1" t="s">
        <v>15</v>
      </c>
      <c r="F19" s="1">
        <v>138</v>
      </c>
      <c r="G19" s="1" t="s">
        <v>16</v>
      </c>
      <c r="H19" s="1" t="s">
        <v>116</v>
      </c>
      <c r="I19" s="1" t="s">
        <v>15</v>
      </c>
      <c r="J19" s="1" t="s">
        <v>15</v>
      </c>
      <c r="K19" s="1">
        <v>69028.384057970005</v>
      </c>
      <c r="L19" s="2">
        <v>9525917</v>
      </c>
      <c r="M19" s="1" t="s">
        <v>471</v>
      </c>
      <c r="N19" s="8" t="s">
        <v>459</v>
      </c>
      <c r="O19" s="8"/>
      <c r="P19" s="1" t="str">
        <f t="shared" si="0"/>
        <v>11/08/2026</v>
      </c>
      <c r="Q19" s="18">
        <v>46245</v>
      </c>
      <c r="R19" s="19">
        <f ca="1">Table13[[#This Row],[Column1]]-TODAY()</f>
        <v>-4</v>
      </c>
    </row>
    <row r="20" spans="1:18">
      <c r="A20" s="7" t="s">
        <v>27</v>
      </c>
      <c r="B20" s="1" t="s">
        <v>28</v>
      </c>
      <c r="C20" s="1">
        <v>25620</v>
      </c>
      <c r="D20" s="1" t="s">
        <v>14</v>
      </c>
      <c r="E20" s="1" t="s">
        <v>15</v>
      </c>
      <c r="F20" s="1">
        <v>25620</v>
      </c>
      <c r="G20" s="1" t="s">
        <v>29</v>
      </c>
      <c r="H20" s="1" t="s">
        <v>30</v>
      </c>
      <c r="I20" s="1" t="s">
        <v>15</v>
      </c>
      <c r="J20" s="1" t="s">
        <v>15</v>
      </c>
      <c r="K20" s="1">
        <v>138.02459016</v>
      </c>
      <c r="L20" s="2">
        <v>3536190</v>
      </c>
      <c r="M20" s="5" t="s">
        <v>455</v>
      </c>
      <c r="N20" s="8" t="s">
        <v>517</v>
      </c>
      <c r="O20" s="8" t="s">
        <v>518</v>
      </c>
      <c r="P20" s="1" t="str">
        <f t="shared" si="0"/>
        <v>30/3/2026</v>
      </c>
      <c r="Q20" s="18">
        <v>46111</v>
      </c>
      <c r="R20" s="19">
        <f ca="1">Table13[[#This Row],[Column1]]-TODAY()</f>
        <v>-138</v>
      </c>
    </row>
    <row r="21" spans="1:18">
      <c r="A21" s="7" t="s">
        <v>33</v>
      </c>
      <c r="B21" s="1" t="s">
        <v>34</v>
      </c>
      <c r="C21" s="1">
        <v>1220</v>
      </c>
      <c r="D21" s="1" t="s">
        <v>14</v>
      </c>
      <c r="E21" s="1" t="s">
        <v>15</v>
      </c>
      <c r="F21" s="1">
        <v>1220</v>
      </c>
      <c r="G21" s="1" t="s">
        <v>29</v>
      </c>
      <c r="H21" s="1" t="s">
        <v>30</v>
      </c>
      <c r="I21" s="1" t="s">
        <v>15</v>
      </c>
      <c r="J21" s="1" t="s">
        <v>15</v>
      </c>
      <c r="K21" s="1">
        <v>159.89836066000001</v>
      </c>
      <c r="L21" s="2">
        <v>195076</v>
      </c>
      <c r="M21" s="5" t="s">
        <v>455</v>
      </c>
      <c r="N21" s="8" t="s">
        <v>517</v>
      </c>
      <c r="O21" s="8" t="s">
        <v>518</v>
      </c>
      <c r="P21" s="1" t="str">
        <f t="shared" si="0"/>
        <v>30/3/2026</v>
      </c>
      <c r="Q21" s="18">
        <v>46111</v>
      </c>
      <c r="R21" s="19">
        <f ca="1">Table13[[#This Row],[Column1]]-TODAY()</f>
        <v>-138</v>
      </c>
    </row>
    <row r="22" spans="1:18">
      <c r="A22" s="7" t="s">
        <v>37</v>
      </c>
      <c r="B22" s="1" t="s">
        <v>38</v>
      </c>
      <c r="C22" s="1">
        <v>1830</v>
      </c>
      <c r="D22" s="1" t="s">
        <v>14</v>
      </c>
      <c r="E22" s="1" t="s">
        <v>15</v>
      </c>
      <c r="F22" s="1">
        <v>1830</v>
      </c>
      <c r="G22" s="1" t="s">
        <v>29</v>
      </c>
      <c r="H22" s="1" t="s">
        <v>30</v>
      </c>
      <c r="I22" s="1" t="s">
        <v>15</v>
      </c>
      <c r="J22" s="1" t="s">
        <v>15</v>
      </c>
      <c r="K22" s="1">
        <v>99.289617489999998</v>
      </c>
      <c r="L22" s="2">
        <v>181700</v>
      </c>
      <c r="M22" s="5" t="s">
        <v>455</v>
      </c>
      <c r="N22" s="8" t="s">
        <v>517</v>
      </c>
      <c r="O22" s="8" t="s">
        <v>518</v>
      </c>
      <c r="P22" s="1" t="str">
        <f t="shared" si="0"/>
        <v>30/3/2026</v>
      </c>
      <c r="Q22" s="18">
        <v>46111</v>
      </c>
      <c r="R22" s="19">
        <f ca="1">Table13[[#This Row],[Column1]]-TODAY()</f>
        <v>-138</v>
      </c>
    </row>
    <row r="23" spans="1:18">
      <c r="A23" s="7" t="s">
        <v>255</v>
      </c>
      <c r="B23" s="1" t="s">
        <v>256</v>
      </c>
      <c r="C23" s="1">
        <v>665</v>
      </c>
      <c r="D23" s="1" t="s">
        <v>14</v>
      </c>
      <c r="E23" s="1" t="s">
        <v>15</v>
      </c>
      <c r="F23" s="1">
        <v>665</v>
      </c>
      <c r="G23" s="1" t="s">
        <v>257</v>
      </c>
      <c r="H23" s="1" t="s">
        <v>254</v>
      </c>
      <c r="I23" s="1" t="s">
        <v>15</v>
      </c>
      <c r="J23" s="1" t="s">
        <v>15</v>
      </c>
      <c r="K23" s="1">
        <v>25753.21353383</v>
      </c>
      <c r="L23" s="2">
        <v>17125887</v>
      </c>
      <c r="M23" s="1" t="s">
        <v>467</v>
      </c>
      <c r="N23" s="8" t="s">
        <v>462</v>
      </c>
      <c r="O23" s="8" t="s">
        <v>509</v>
      </c>
      <c r="P23" s="1" t="str">
        <f t="shared" si="0"/>
        <v>11/05/2026</v>
      </c>
      <c r="Q23" s="18">
        <v>46153</v>
      </c>
      <c r="R23" s="19">
        <f ca="1">Table13[[#This Row],[Column1]]-TODAY()</f>
        <v>-96</v>
      </c>
    </row>
    <row r="24" spans="1:18">
      <c r="A24" s="7" t="s">
        <v>80</v>
      </c>
      <c r="B24" s="1" t="s">
        <v>81</v>
      </c>
      <c r="C24" s="1">
        <v>171</v>
      </c>
      <c r="D24" s="1" t="s">
        <v>14</v>
      </c>
      <c r="E24" s="1" t="s">
        <v>15</v>
      </c>
      <c r="F24" s="1">
        <v>171</v>
      </c>
      <c r="G24" s="1" t="s">
        <v>78</v>
      </c>
      <c r="H24" s="1" t="s">
        <v>79</v>
      </c>
      <c r="I24" s="1" t="s">
        <v>15</v>
      </c>
      <c r="J24" s="1" t="s">
        <v>15</v>
      </c>
      <c r="K24" s="1">
        <v>41817.00584795</v>
      </c>
      <c r="L24" s="2">
        <v>7150708</v>
      </c>
      <c r="M24" s="1" t="s">
        <v>472</v>
      </c>
      <c r="N24" s="8" t="s">
        <v>459</v>
      </c>
      <c r="O24" s="8" t="s">
        <v>512</v>
      </c>
      <c r="P24" s="1" t="str">
        <f t="shared" si="0"/>
        <v>2/7/2025</v>
      </c>
      <c r="Q24" s="18">
        <v>45840</v>
      </c>
      <c r="R24" s="19">
        <f ca="1">Table13[[#This Row],[Column1]]-TODAY()</f>
        <v>-409</v>
      </c>
    </row>
    <row r="25" spans="1:18">
      <c r="A25" s="6" t="s">
        <v>12</v>
      </c>
      <c r="B25" s="1" t="s">
        <v>13</v>
      </c>
      <c r="C25" s="1">
        <v>5</v>
      </c>
      <c r="D25" s="1" t="s">
        <v>14</v>
      </c>
      <c r="E25" s="1" t="s">
        <v>15</v>
      </c>
      <c r="F25" s="1">
        <v>5</v>
      </c>
      <c r="G25" s="1" t="s">
        <v>16</v>
      </c>
      <c r="H25" s="1" t="s">
        <v>17</v>
      </c>
      <c r="I25" s="1" t="s">
        <v>15</v>
      </c>
      <c r="J25" s="1" t="s">
        <v>15</v>
      </c>
      <c r="K25" s="1">
        <v>10406.200000000001</v>
      </c>
      <c r="L25" s="2">
        <v>52031</v>
      </c>
      <c r="M25" s="5" t="s">
        <v>454</v>
      </c>
      <c r="N25" s="8" t="s">
        <v>516</v>
      </c>
      <c r="O25" s="8" t="s">
        <v>460</v>
      </c>
      <c r="P25" s="1" t="str">
        <f t="shared" si="0"/>
        <v>13/05/2026</v>
      </c>
      <c r="Q25" s="18">
        <v>46155</v>
      </c>
      <c r="R25" s="19">
        <f ca="1">Table13[[#This Row],[Column1]]-TODAY()</f>
        <v>-94</v>
      </c>
    </row>
    <row r="26" spans="1:18">
      <c r="A26" s="7" t="s">
        <v>18</v>
      </c>
      <c r="B26" s="1" t="s">
        <v>19</v>
      </c>
      <c r="C26" s="1">
        <v>8</v>
      </c>
      <c r="D26" s="1" t="s">
        <v>14</v>
      </c>
      <c r="E26" s="1" t="s">
        <v>15</v>
      </c>
      <c r="F26" s="1">
        <v>8</v>
      </c>
      <c r="G26" s="1" t="s">
        <v>16</v>
      </c>
      <c r="H26" s="1" t="s">
        <v>20</v>
      </c>
      <c r="I26" s="1" t="s">
        <v>15</v>
      </c>
      <c r="J26" s="1" t="s">
        <v>15</v>
      </c>
      <c r="K26" s="1">
        <v>13057.75</v>
      </c>
      <c r="L26" s="2">
        <v>104462</v>
      </c>
      <c r="M26" s="5" t="s">
        <v>454</v>
      </c>
      <c r="N26" s="8" t="s">
        <v>516</v>
      </c>
      <c r="O26" s="8" t="s">
        <v>460</v>
      </c>
      <c r="P26" s="1" t="str">
        <f t="shared" si="0"/>
        <v>13/05/2026</v>
      </c>
      <c r="Q26" s="18">
        <v>46155</v>
      </c>
      <c r="R26" s="19">
        <f ca="1">Table13[[#This Row],[Column1]]-TODAY()</f>
        <v>-94</v>
      </c>
    </row>
    <row r="27" spans="1:18">
      <c r="A27" s="7" t="s">
        <v>21</v>
      </c>
      <c r="B27" s="1" t="s">
        <v>22</v>
      </c>
      <c r="C27" s="1">
        <v>5</v>
      </c>
      <c r="D27" s="1" t="s">
        <v>14</v>
      </c>
      <c r="E27" s="1" t="s">
        <v>15</v>
      </c>
      <c r="F27" s="1">
        <v>5</v>
      </c>
      <c r="G27" s="1" t="s">
        <v>16</v>
      </c>
      <c r="H27" s="1" t="s">
        <v>23</v>
      </c>
      <c r="I27" s="1" t="s">
        <v>15</v>
      </c>
      <c r="J27" s="1" t="s">
        <v>15</v>
      </c>
      <c r="K27" s="1">
        <v>13066</v>
      </c>
      <c r="L27" s="2">
        <v>65330</v>
      </c>
      <c r="M27" s="5" t="s">
        <v>454</v>
      </c>
      <c r="N27" s="8" t="s">
        <v>516</v>
      </c>
      <c r="O27" s="8" t="s">
        <v>460</v>
      </c>
      <c r="P27" s="1" t="str">
        <f t="shared" si="0"/>
        <v>13/05/2026</v>
      </c>
      <c r="Q27" s="18">
        <v>46155</v>
      </c>
      <c r="R27" s="19">
        <f ca="1">Table13[[#This Row],[Column1]]-TODAY()</f>
        <v>-94</v>
      </c>
    </row>
    <row r="28" spans="1:18">
      <c r="A28" s="7" t="s">
        <v>41</v>
      </c>
      <c r="B28" s="1" t="s">
        <v>42</v>
      </c>
      <c r="C28" s="1">
        <v>8</v>
      </c>
      <c r="D28" s="1" t="s">
        <v>14</v>
      </c>
      <c r="E28" s="1" t="s">
        <v>15</v>
      </c>
      <c r="F28" s="1">
        <v>8</v>
      </c>
      <c r="G28" s="1" t="s">
        <v>16</v>
      </c>
      <c r="H28" s="1" t="s">
        <v>26</v>
      </c>
      <c r="I28" s="1" t="s">
        <v>15</v>
      </c>
      <c r="J28" s="1" t="s">
        <v>15</v>
      </c>
      <c r="K28" s="1">
        <v>28818.875</v>
      </c>
      <c r="L28" s="2">
        <v>230551</v>
      </c>
      <c r="M28" s="5" t="s">
        <v>454</v>
      </c>
      <c r="N28" s="8" t="s">
        <v>516</v>
      </c>
      <c r="O28" s="8" t="s">
        <v>460</v>
      </c>
      <c r="P28" s="1" t="str">
        <f t="shared" si="0"/>
        <v>13/05/2026</v>
      </c>
      <c r="Q28" s="18">
        <v>46155</v>
      </c>
      <c r="R28" s="19">
        <f ca="1">Table13[[#This Row],[Column1]]-TODAY()</f>
        <v>-94</v>
      </c>
    </row>
    <row r="29" spans="1:18">
      <c r="A29" s="7" t="s">
        <v>43</v>
      </c>
      <c r="B29" s="1" t="s">
        <v>44</v>
      </c>
      <c r="C29" s="1">
        <v>4</v>
      </c>
      <c r="D29" s="1" t="s">
        <v>14</v>
      </c>
      <c r="E29" s="1" t="s">
        <v>15</v>
      </c>
      <c r="F29" s="1">
        <v>4</v>
      </c>
      <c r="G29" s="1" t="s">
        <v>16</v>
      </c>
      <c r="H29" s="1" t="s">
        <v>26</v>
      </c>
      <c r="I29" s="1" t="s">
        <v>15</v>
      </c>
      <c r="J29" s="1" t="s">
        <v>15</v>
      </c>
      <c r="K29" s="1">
        <v>45095.75</v>
      </c>
      <c r="L29" s="2">
        <v>180383</v>
      </c>
      <c r="M29" s="5" t="s">
        <v>454</v>
      </c>
      <c r="N29" s="8" t="s">
        <v>516</v>
      </c>
      <c r="O29" s="8" t="s">
        <v>460</v>
      </c>
      <c r="P29" s="1" t="str">
        <f t="shared" si="0"/>
        <v>13/05/2026</v>
      </c>
      <c r="Q29" s="18">
        <v>46155</v>
      </c>
      <c r="R29" s="19">
        <f ca="1">Table13[[#This Row],[Column1]]-TODAY()</f>
        <v>-94</v>
      </c>
    </row>
    <row r="30" spans="1:18">
      <c r="A30" s="7" t="s">
        <v>45</v>
      </c>
      <c r="B30" s="1" t="s">
        <v>46</v>
      </c>
      <c r="C30" s="1">
        <v>3</v>
      </c>
      <c r="D30" s="1" t="s">
        <v>14</v>
      </c>
      <c r="E30" s="1" t="s">
        <v>15</v>
      </c>
      <c r="F30" s="1">
        <v>3</v>
      </c>
      <c r="G30" s="1" t="s">
        <v>16</v>
      </c>
      <c r="H30" s="1" t="s">
        <v>26</v>
      </c>
      <c r="I30" s="1" t="s">
        <v>15</v>
      </c>
      <c r="J30" s="1" t="s">
        <v>15</v>
      </c>
      <c r="K30" s="1">
        <v>16243</v>
      </c>
      <c r="L30" s="2">
        <v>48729</v>
      </c>
      <c r="M30" s="5" t="s">
        <v>454</v>
      </c>
      <c r="N30" s="8" t="s">
        <v>516</v>
      </c>
      <c r="O30" s="8" t="s">
        <v>460</v>
      </c>
      <c r="P30" s="1" t="str">
        <f t="shared" si="0"/>
        <v>13/05/2026</v>
      </c>
      <c r="Q30" s="18">
        <v>46155</v>
      </c>
      <c r="R30" s="19">
        <f ca="1">Table13[[#This Row],[Column1]]-TODAY()</f>
        <v>-94</v>
      </c>
    </row>
    <row r="31" spans="1:18">
      <c r="A31" s="7" t="s">
        <v>47</v>
      </c>
      <c r="B31" s="1" t="s">
        <v>48</v>
      </c>
      <c r="C31" s="1">
        <v>8</v>
      </c>
      <c r="D31" s="1" t="s">
        <v>14</v>
      </c>
      <c r="E31" s="1" t="s">
        <v>15</v>
      </c>
      <c r="F31" s="1">
        <v>8</v>
      </c>
      <c r="G31" s="1" t="s">
        <v>16</v>
      </c>
      <c r="H31" s="1" t="s">
        <v>26</v>
      </c>
      <c r="I31" s="1" t="s">
        <v>15</v>
      </c>
      <c r="J31" s="1" t="s">
        <v>15</v>
      </c>
      <c r="K31" s="1">
        <v>18729</v>
      </c>
      <c r="L31" s="2">
        <v>149832</v>
      </c>
      <c r="M31" s="5" t="s">
        <v>454</v>
      </c>
      <c r="N31" s="8" t="s">
        <v>516</v>
      </c>
      <c r="O31" s="8" t="s">
        <v>460</v>
      </c>
      <c r="P31" s="1" t="str">
        <f t="shared" si="0"/>
        <v>13/05/2026</v>
      </c>
      <c r="Q31" s="18">
        <v>46155</v>
      </c>
      <c r="R31" s="19">
        <f ca="1">Table13[[#This Row],[Column1]]-TODAY()</f>
        <v>-94</v>
      </c>
    </row>
    <row r="32" spans="1:18">
      <c r="A32" s="7" t="s">
        <v>49</v>
      </c>
      <c r="B32" s="1" t="s">
        <v>48</v>
      </c>
      <c r="C32" s="1">
        <v>8</v>
      </c>
      <c r="D32" s="1" t="s">
        <v>14</v>
      </c>
      <c r="E32" s="1" t="s">
        <v>15</v>
      </c>
      <c r="F32" s="1">
        <v>8</v>
      </c>
      <c r="G32" s="1" t="s">
        <v>16</v>
      </c>
      <c r="H32" s="1" t="s">
        <v>26</v>
      </c>
      <c r="I32" s="1" t="s">
        <v>15</v>
      </c>
      <c r="J32" s="1" t="s">
        <v>15</v>
      </c>
      <c r="K32" s="1">
        <v>17896</v>
      </c>
      <c r="L32" s="2">
        <v>143168</v>
      </c>
      <c r="M32" s="5" t="s">
        <v>454</v>
      </c>
      <c r="N32" s="8" t="s">
        <v>516</v>
      </c>
      <c r="O32" s="8" t="s">
        <v>460</v>
      </c>
      <c r="P32" s="1" t="str">
        <f t="shared" si="0"/>
        <v>13/05/2026</v>
      </c>
      <c r="Q32" s="18">
        <v>46155</v>
      </c>
      <c r="R32" s="19">
        <f ca="1">Table13[[#This Row],[Column1]]-TODAY()</f>
        <v>-94</v>
      </c>
    </row>
    <row r="33" spans="1:18">
      <c r="A33" s="7" t="s">
        <v>50</v>
      </c>
      <c r="B33" s="1" t="s">
        <v>51</v>
      </c>
      <c r="C33" s="1">
        <v>6</v>
      </c>
      <c r="D33" s="1" t="s">
        <v>14</v>
      </c>
      <c r="E33" s="1" t="s">
        <v>15</v>
      </c>
      <c r="F33" s="1">
        <v>6</v>
      </c>
      <c r="G33" s="1" t="s">
        <v>16</v>
      </c>
      <c r="H33" s="1" t="s">
        <v>23</v>
      </c>
      <c r="I33" s="1" t="s">
        <v>15</v>
      </c>
      <c r="J33" s="1" t="s">
        <v>15</v>
      </c>
      <c r="K33" s="1">
        <v>27040.66666667</v>
      </c>
      <c r="L33" s="2">
        <v>162244</v>
      </c>
      <c r="M33" s="5" t="s">
        <v>454</v>
      </c>
      <c r="N33" s="8" t="s">
        <v>516</v>
      </c>
      <c r="O33" s="8" t="s">
        <v>460</v>
      </c>
      <c r="P33" s="1" t="str">
        <f t="shared" si="0"/>
        <v>13/05/2026</v>
      </c>
      <c r="Q33" s="18">
        <v>46155</v>
      </c>
      <c r="R33" s="19">
        <f ca="1">Table13[[#This Row],[Column1]]-TODAY()</f>
        <v>-94</v>
      </c>
    </row>
    <row r="34" spans="1:18">
      <c r="A34" s="7" t="s">
        <v>52</v>
      </c>
      <c r="B34" s="1" t="s">
        <v>51</v>
      </c>
      <c r="C34" s="1">
        <v>6</v>
      </c>
      <c r="D34" s="1" t="s">
        <v>14</v>
      </c>
      <c r="E34" s="1" t="s">
        <v>15</v>
      </c>
      <c r="F34" s="1">
        <v>6</v>
      </c>
      <c r="G34" s="1" t="s">
        <v>16</v>
      </c>
      <c r="H34" s="1" t="s">
        <v>23</v>
      </c>
      <c r="I34" s="1" t="s">
        <v>15</v>
      </c>
      <c r="J34" s="1" t="s">
        <v>15</v>
      </c>
      <c r="K34" s="1">
        <v>21337</v>
      </c>
      <c r="L34" s="2">
        <v>128022</v>
      </c>
      <c r="M34" s="5" t="s">
        <v>454</v>
      </c>
      <c r="N34" s="8" t="s">
        <v>516</v>
      </c>
      <c r="O34" s="8" t="s">
        <v>460</v>
      </c>
      <c r="P34" s="1" t="str">
        <f t="shared" si="0"/>
        <v>13/05/2026</v>
      </c>
      <c r="Q34" s="18">
        <v>46155</v>
      </c>
      <c r="R34" s="19">
        <f ca="1">Table13[[#This Row],[Column1]]-TODAY()</f>
        <v>-94</v>
      </c>
    </row>
    <row r="35" spans="1:18">
      <c r="A35" s="7" t="s">
        <v>58</v>
      </c>
      <c r="B35" s="1" t="s">
        <v>59</v>
      </c>
      <c r="C35" s="1">
        <v>7</v>
      </c>
      <c r="D35" s="1" t="s">
        <v>14</v>
      </c>
      <c r="E35" s="1" t="s">
        <v>15</v>
      </c>
      <c r="F35" s="1">
        <v>7</v>
      </c>
      <c r="G35" s="1" t="s">
        <v>16</v>
      </c>
      <c r="H35" s="1" t="s">
        <v>26</v>
      </c>
      <c r="I35" s="1" t="s">
        <v>15</v>
      </c>
      <c r="J35" s="1" t="s">
        <v>15</v>
      </c>
      <c r="K35" s="1">
        <v>14637</v>
      </c>
      <c r="L35" s="2">
        <v>102459</v>
      </c>
      <c r="M35" s="5" t="s">
        <v>454</v>
      </c>
      <c r="N35" s="8" t="s">
        <v>516</v>
      </c>
      <c r="O35" s="8" t="s">
        <v>460</v>
      </c>
      <c r="P35" s="1" t="str">
        <f t="shared" si="0"/>
        <v>13/05/2026</v>
      </c>
      <c r="Q35" s="18">
        <v>46155</v>
      </c>
      <c r="R35" s="19">
        <f ca="1">Table13[[#This Row],[Column1]]-TODAY()</f>
        <v>-94</v>
      </c>
    </row>
    <row r="36" spans="1:18">
      <c r="A36" s="7" t="s">
        <v>60</v>
      </c>
      <c r="B36" s="1" t="s">
        <v>61</v>
      </c>
      <c r="C36" s="1">
        <v>35</v>
      </c>
      <c r="D36" s="1" t="s">
        <v>14</v>
      </c>
      <c r="E36" s="1" t="s">
        <v>15</v>
      </c>
      <c r="F36" s="1">
        <v>35</v>
      </c>
      <c r="G36" s="1" t="s">
        <v>16</v>
      </c>
      <c r="H36" s="1" t="s">
        <v>62</v>
      </c>
      <c r="I36" s="1" t="s">
        <v>15</v>
      </c>
      <c r="J36" s="1" t="s">
        <v>15</v>
      </c>
      <c r="K36" s="1">
        <v>10911.77142857</v>
      </c>
      <c r="L36" s="2">
        <v>381912</v>
      </c>
      <c r="M36" s="5" t="s">
        <v>454</v>
      </c>
      <c r="N36" s="8" t="s">
        <v>516</v>
      </c>
      <c r="O36" s="8" t="s">
        <v>460</v>
      </c>
      <c r="P36" s="1" t="str">
        <f t="shared" si="0"/>
        <v>13/05/2026</v>
      </c>
      <c r="Q36" s="18">
        <v>46155</v>
      </c>
      <c r="R36" s="19">
        <f ca="1">Table13[[#This Row],[Column1]]-TODAY()</f>
        <v>-94</v>
      </c>
    </row>
    <row r="37" spans="1:18">
      <c r="A37" s="7" t="s">
        <v>63</v>
      </c>
      <c r="B37" s="1" t="s">
        <v>64</v>
      </c>
      <c r="C37" s="1">
        <v>6</v>
      </c>
      <c r="D37" s="1" t="s">
        <v>14</v>
      </c>
      <c r="E37" s="1" t="s">
        <v>15</v>
      </c>
      <c r="F37" s="1">
        <v>6</v>
      </c>
      <c r="G37" s="1" t="s">
        <v>16</v>
      </c>
      <c r="H37" s="1" t="s">
        <v>17</v>
      </c>
      <c r="I37" s="1" t="s">
        <v>15</v>
      </c>
      <c r="J37" s="1" t="s">
        <v>15</v>
      </c>
      <c r="K37" s="1">
        <v>10442.16666667</v>
      </c>
      <c r="L37" s="2">
        <v>62653</v>
      </c>
      <c r="M37" s="5" t="s">
        <v>454</v>
      </c>
      <c r="N37" s="8" t="s">
        <v>516</v>
      </c>
      <c r="O37" s="8" t="s">
        <v>460</v>
      </c>
      <c r="P37" s="1" t="str">
        <f t="shared" si="0"/>
        <v>13/05/2026</v>
      </c>
      <c r="Q37" s="18">
        <v>46155</v>
      </c>
      <c r="R37" s="19">
        <f ca="1">Table13[[#This Row],[Column1]]-TODAY()</f>
        <v>-94</v>
      </c>
    </row>
    <row r="38" spans="1:18">
      <c r="A38" s="7" t="s">
        <v>65</v>
      </c>
      <c r="B38" s="1" t="s">
        <v>66</v>
      </c>
      <c r="C38" s="1">
        <v>10</v>
      </c>
      <c r="D38" s="1" t="s">
        <v>14</v>
      </c>
      <c r="E38" s="1" t="s">
        <v>15</v>
      </c>
      <c r="F38" s="1">
        <v>10</v>
      </c>
      <c r="G38" s="1" t="s">
        <v>67</v>
      </c>
      <c r="H38" s="1" t="s">
        <v>30</v>
      </c>
      <c r="I38" s="1" t="s">
        <v>15</v>
      </c>
      <c r="J38" s="1" t="s">
        <v>15</v>
      </c>
      <c r="K38" s="1">
        <v>12200</v>
      </c>
      <c r="L38" s="2">
        <v>122000</v>
      </c>
      <c r="M38" s="5" t="s">
        <v>454</v>
      </c>
      <c r="N38" s="8" t="s">
        <v>516</v>
      </c>
      <c r="O38" s="8" t="s">
        <v>460</v>
      </c>
      <c r="P38" s="1" t="str">
        <f t="shared" si="0"/>
        <v>13/05/2026</v>
      </c>
      <c r="Q38" s="18">
        <v>46155</v>
      </c>
      <c r="R38" s="19">
        <f ca="1">Table13[[#This Row],[Column1]]-TODAY()</f>
        <v>-94</v>
      </c>
    </row>
    <row r="39" spans="1:18">
      <c r="A39" s="7" t="s">
        <v>68</v>
      </c>
      <c r="B39" s="1" t="s">
        <v>69</v>
      </c>
      <c r="C39" s="1">
        <v>5</v>
      </c>
      <c r="D39" s="1" t="s">
        <v>14</v>
      </c>
      <c r="E39" s="1" t="s">
        <v>15</v>
      </c>
      <c r="F39" s="1">
        <v>5</v>
      </c>
      <c r="G39" s="1" t="s">
        <v>67</v>
      </c>
      <c r="H39" s="1" t="s">
        <v>70</v>
      </c>
      <c r="I39" s="1" t="s">
        <v>15</v>
      </c>
      <c r="J39" s="1" t="s">
        <v>15</v>
      </c>
      <c r="K39" s="1">
        <v>16002.2</v>
      </c>
      <c r="L39" s="2">
        <v>80011</v>
      </c>
      <c r="M39" s="5" t="s">
        <v>454</v>
      </c>
      <c r="N39" s="8" t="s">
        <v>516</v>
      </c>
      <c r="O39" s="8" t="s">
        <v>460</v>
      </c>
      <c r="P39" s="1" t="str">
        <f t="shared" si="0"/>
        <v>13/05/2026</v>
      </c>
      <c r="Q39" s="18">
        <v>46155</v>
      </c>
      <c r="R39" s="19">
        <f ca="1">Table13[[#This Row],[Column1]]-TODAY()</f>
        <v>-94</v>
      </c>
    </row>
    <row r="40" spans="1:18">
      <c r="A40" s="7" t="s">
        <v>71</v>
      </c>
      <c r="B40" s="1" t="s">
        <v>72</v>
      </c>
      <c r="C40" s="1">
        <v>7</v>
      </c>
      <c r="D40" s="1" t="s">
        <v>14</v>
      </c>
      <c r="E40" s="1" t="s">
        <v>15</v>
      </c>
      <c r="F40" s="1">
        <v>7</v>
      </c>
      <c r="G40" s="1" t="s">
        <v>16</v>
      </c>
      <c r="H40" s="1" t="s">
        <v>17</v>
      </c>
      <c r="I40" s="1" t="s">
        <v>15</v>
      </c>
      <c r="J40" s="1" t="s">
        <v>15</v>
      </c>
      <c r="K40" s="1">
        <v>12568.42857143</v>
      </c>
      <c r="L40" s="2">
        <v>87979</v>
      </c>
      <c r="M40" s="5" t="s">
        <v>454</v>
      </c>
      <c r="N40" s="8" t="s">
        <v>516</v>
      </c>
      <c r="O40" s="8" t="s">
        <v>460</v>
      </c>
      <c r="P40" s="1" t="str">
        <f t="shared" si="0"/>
        <v>13/05/2026</v>
      </c>
      <c r="Q40" s="18">
        <v>46155</v>
      </c>
      <c r="R40" s="19">
        <f ca="1">Table13[[#This Row],[Column1]]-TODAY()</f>
        <v>-94</v>
      </c>
    </row>
    <row r="41" spans="1:18">
      <c r="A41" s="7" t="s">
        <v>73</v>
      </c>
      <c r="B41" s="1" t="s">
        <v>74</v>
      </c>
      <c r="C41" s="1">
        <v>7</v>
      </c>
      <c r="D41" s="1" t="s">
        <v>14</v>
      </c>
      <c r="E41" s="1" t="s">
        <v>15</v>
      </c>
      <c r="F41" s="1">
        <v>7</v>
      </c>
      <c r="G41" s="1" t="s">
        <v>16</v>
      </c>
      <c r="H41" s="1" t="s">
        <v>75</v>
      </c>
      <c r="I41" s="1" t="s">
        <v>15</v>
      </c>
      <c r="J41" s="1" t="s">
        <v>15</v>
      </c>
      <c r="K41" s="1">
        <v>13014.285714289999</v>
      </c>
      <c r="L41" s="2">
        <v>91100</v>
      </c>
      <c r="M41" s="5" t="s">
        <v>454</v>
      </c>
      <c r="N41" s="8" t="s">
        <v>516</v>
      </c>
      <c r="O41" s="8" t="s">
        <v>460</v>
      </c>
      <c r="P41" s="1" t="str">
        <f t="shared" si="0"/>
        <v>13/05/2026</v>
      </c>
      <c r="Q41" s="18">
        <v>46155</v>
      </c>
      <c r="R41" s="19">
        <f ca="1">Table13[[#This Row],[Column1]]-TODAY()</f>
        <v>-94</v>
      </c>
    </row>
    <row r="42" spans="1:18">
      <c r="A42" s="7" t="s">
        <v>86</v>
      </c>
      <c r="B42" s="1" t="s">
        <v>87</v>
      </c>
      <c r="C42" s="1">
        <v>10</v>
      </c>
      <c r="D42" s="1" t="s">
        <v>14</v>
      </c>
      <c r="E42" s="1" t="s">
        <v>15</v>
      </c>
      <c r="F42" s="1">
        <v>10</v>
      </c>
      <c r="G42" s="1" t="s">
        <v>88</v>
      </c>
      <c r="H42" s="1" t="s">
        <v>30</v>
      </c>
      <c r="I42" s="1" t="s">
        <v>15</v>
      </c>
      <c r="J42" s="1" t="s">
        <v>15</v>
      </c>
      <c r="K42" s="1">
        <v>160000</v>
      </c>
      <c r="L42" s="2">
        <v>1600000</v>
      </c>
      <c r="M42" s="5" t="s">
        <v>454</v>
      </c>
      <c r="N42" s="8" t="s">
        <v>516</v>
      </c>
      <c r="O42" s="8" t="s">
        <v>460</v>
      </c>
      <c r="P42" s="1" t="str">
        <f t="shared" si="0"/>
        <v>13/05/2026</v>
      </c>
      <c r="Q42" s="18">
        <v>46155</v>
      </c>
      <c r="R42" s="19">
        <f ca="1">Table13[[#This Row],[Column1]]-TODAY()</f>
        <v>-94</v>
      </c>
    </row>
    <row r="43" spans="1:18">
      <c r="A43" s="7" t="s">
        <v>97</v>
      </c>
      <c r="B43" s="1" t="s">
        <v>98</v>
      </c>
      <c r="C43" s="1">
        <v>4</v>
      </c>
      <c r="D43" s="1" t="s">
        <v>14</v>
      </c>
      <c r="E43" s="1" t="s">
        <v>15</v>
      </c>
      <c r="F43" s="1">
        <v>4</v>
      </c>
      <c r="G43" s="1" t="s">
        <v>16</v>
      </c>
      <c r="H43" s="1" t="s">
        <v>17</v>
      </c>
      <c r="I43" s="1" t="s">
        <v>15</v>
      </c>
      <c r="J43" s="1" t="s">
        <v>15</v>
      </c>
      <c r="K43" s="1">
        <v>35106.5</v>
      </c>
      <c r="L43" s="2">
        <v>140426</v>
      </c>
      <c r="M43" s="5" t="s">
        <v>454</v>
      </c>
      <c r="N43" s="8" t="s">
        <v>516</v>
      </c>
      <c r="O43" s="8" t="s">
        <v>460</v>
      </c>
      <c r="P43" s="1" t="str">
        <f t="shared" si="0"/>
        <v>13/05/2026</v>
      </c>
      <c r="Q43" s="18">
        <v>46155</v>
      </c>
      <c r="R43" s="19">
        <f ca="1">Table13[[#This Row],[Column1]]-TODAY()</f>
        <v>-94</v>
      </c>
    </row>
    <row r="44" spans="1:18">
      <c r="A44" s="7" t="s">
        <v>99</v>
      </c>
      <c r="B44" s="1" t="s">
        <v>100</v>
      </c>
      <c r="C44" s="1">
        <v>8</v>
      </c>
      <c r="D44" s="1" t="s">
        <v>14</v>
      </c>
      <c r="E44" s="1" t="s">
        <v>15</v>
      </c>
      <c r="F44" s="1">
        <v>8</v>
      </c>
      <c r="G44" s="1" t="s">
        <v>16</v>
      </c>
      <c r="H44" s="1" t="s">
        <v>101</v>
      </c>
      <c r="I44" s="1" t="s">
        <v>15</v>
      </c>
      <c r="J44" s="1" t="s">
        <v>15</v>
      </c>
      <c r="K44" s="1">
        <v>13856</v>
      </c>
      <c r="L44" s="2">
        <v>110848</v>
      </c>
      <c r="M44" s="5" t="s">
        <v>454</v>
      </c>
      <c r="N44" s="8" t="s">
        <v>516</v>
      </c>
      <c r="O44" s="8" t="s">
        <v>460</v>
      </c>
      <c r="P44" s="1" t="str">
        <f t="shared" si="0"/>
        <v>13/05/2026</v>
      </c>
      <c r="Q44" s="18">
        <v>46155</v>
      </c>
      <c r="R44" s="19">
        <f ca="1">Table13[[#This Row],[Column1]]-TODAY()</f>
        <v>-94</v>
      </c>
    </row>
    <row r="45" spans="1:18">
      <c r="A45" s="7" t="s">
        <v>102</v>
      </c>
      <c r="B45" s="1" t="s">
        <v>103</v>
      </c>
      <c r="C45" s="1">
        <v>7</v>
      </c>
      <c r="D45" s="1" t="s">
        <v>14</v>
      </c>
      <c r="E45" s="1" t="s">
        <v>15</v>
      </c>
      <c r="F45" s="1">
        <v>7</v>
      </c>
      <c r="G45" s="1" t="s">
        <v>16</v>
      </c>
      <c r="H45" s="1" t="s">
        <v>101</v>
      </c>
      <c r="I45" s="1" t="s">
        <v>15</v>
      </c>
      <c r="J45" s="1" t="s">
        <v>15</v>
      </c>
      <c r="K45" s="1">
        <v>15278</v>
      </c>
      <c r="L45" s="2">
        <v>106946</v>
      </c>
      <c r="M45" s="5" t="s">
        <v>454</v>
      </c>
      <c r="N45" s="8" t="s">
        <v>516</v>
      </c>
      <c r="O45" s="8" t="s">
        <v>460</v>
      </c>
      <c r="P45" s="1" t="str">
        <f t="shared" si="0"/>
        <v>13/05/2026</v>
      </c>
      <c r="Q45" s="18">
        <v>46155</v>
      </c>
      <c r="R45" s="19">
        <f ca="1">Table13[[#This Row],[Column1]]-TODAY()</f>
        <v>-94</v>
      </c>
    </row>
    <row r="46" spans="1:18">
      <c r="A46" s="7" t="s">
        <v>104</v>
      </c>
      <c r="B46" s="1" t="s">
        <v>103</v>
      </c>
      <c r="C46" s="1">
        <v>10</v>
      </c>
      <c r="D46" s="1" t="s">
        <v>14</v>
      </c>
      <c r="E46" s="1" t="s">
        <v>15</v>
      </c>
      <c r="F46" s="1">
        <v>10</v>
      </c>
      <c r="G46" s="1" t="s">
        <v>16</v>
      </c>
      <c r="H46" s="1" t="s">
        <v>101</v>
      </c>
      <c r="I46" s="1" t="s">
        <v>15</v>
      </c>
      <c r="J46" s="1" t="s">
        <v>15</v>
      </c>
      <c r="K46" s="1">
        <v>15828.3</v>
      </c>
      <c r="L46" s="2">
        <v>158283</v>
      </c>
      <c r="M46" s="5" t="s">
        <v>454</v>
      </c>
      <c r="N46" s="8" t="s">
        <v>516</v>
      </c>
      <c r="O46" s="8" t="s">
        <v>460</v>
      </c>
      <c r="P46" s="1" t="str">
        <f t="shared" si="0"/>
        <v>13/05/2026</v>
      </c>
      <c r="Q46" s="18">
        <v>46155</v>
      </c>
      <c r="R46" s="19">
        <f ca="1">Table13[[#This Row],[Column1]]-TODAY()</f>
        <v>-94</v>
      </c>
    </row>
    <row r="47" spans="1:18">
      <c r="A47" s="7" t="s">
        <v>105</v>
      </c>
      <c r="B47" s="1" t="s">
        <v>100</v>
      </c>
      <c r="C47" s="1">
        <v>6</v>
      </c>
      <c r="D47" s="1" t="s">
        <v>14</v>
      </c>
      <c r="E47" s="1" t="s">
        <v>15</v>
      </c>
      <c r="F47" s="1">
        <v>6</v>
      </c>
      <c r="G47" s="1" t="s">
        <v>16</v>
      </c>
      <c r="H47" s="1" t="s">
        <v>101</v>
      </c>
      <c r="I47" s="1" t="s">
        <v>15</v>
      </c>
      <c r="J47" s="1" t="s">
        <v>15</v>
      </c>
      <c r="K47" s="1">
        <v>9273.8333333299997</v>
      </c>
      <c r="L47" s="2">
        <v>55643</v>
      </c>
      <c r="M47" s="5" t="s">
        <v>454</v>
      </c>
      <c r="N47" s="8" t="s">
        <v>516</v>
      </c>
      <c r="O47" s="8" t="s">
        <v>460</v>
      </c>
      <c r="P47" s="1" t="str">
        <f t="shared" si="0"/>
        <v>13/05/2026</v>
      </c>
      <c r="Q47" s="18">
        <v>46155</v>
      </c>
      <c r="R47" s="19">
        <f ca="1">Table13[[#This Row],[Column1]]-TODAY()</f>
        <v>-94</v>
      </c>
    </row>
    <row r="48" spans="1:18">
      <c r="A48" s="7" t="s">
        <v>106</v>
      </c>
      <c r="B48" s="1" t="s">
        <v>100</v>
      </c>
      <c r="C48" s="1">
        <v>9</v>
      </c>
      <c r="D48" s="1" t="s">
        <v>14</v>
      </c>
      <c r="E48" s="1" t="s">
        <v>15</v>
      </c>
      <c r="F48" s="1">
        <v>9</v>
      </c>
      <c r="G48" s="1" t="s">
        <v>16</v>
      </c>
      <c r="H48" s="1" t="s">
        <v>101</v>
      </c>
      <c r="I48" s="1" t="s">
        <v>15</v>
      </c>
      <c r="J48" s="1" t="s">
        <v>15</v>
      </c>
      <c r="K48" s="1">
        <v>10956.88888889</v>
      </c>
      <c r="L48" s="2">
        <v>98612</v>
      </c>
      <c r="M48" s="5" t="s">
        <v>454</v>
      </c>
      <c r="N48" s="8" t="s">
        <v>516</v>
      </c>
      <c r="O48" s="8" t="s">
        <v>460</v>
      </c>
      <c r="P48" s="1" t="str">
        <f t="shared" si="0"/>
        <v>13/05/2026</v>
      </c>
      <c r="Q48" s="18">
        <v>46155</v>
      </c>
      <c r="R48" s="19">
        <f ca="1">Table13[[#This Row],[Column1]]-TODAY()</f>
        <v>-94</v>
      </c>
    </row>
    <row r="49" spans="1:18">
      <c r="A49" s="7" t="s">
        <v>107</v>
      </c>
      <c r="B49" s="1" t="s">
        <v>108</v>
      </c>
      <c r="C49" s="1">
        <v>55</v>
      </c>
      <c r="D49" s="1" t="s">
        <v>14</v>
      </c>
      <c r="E49" s="1" t="s">
        <v>15</v>
      </c>
      <c r="F49" s="1">
        <v>55</v>
      </c>
      <c r="G49" s="1" t="s">
        <v>16</v>
      </c>
      <c r="H49" s="1" t="s">
        <v>26</v>
      </c>
      <c r="I49" s="1" t="s">
        <v>15</v>
      </c>
      <c r="J49" s="1" t="s">
        <v>15</v>
      </c>
      <c r="K49" s="1">
        <v>11555.76363636</v>
      </c>
      <c r="L49" s="2">
        <v>635567</v>
      </c>
      <c r="M49" s="5" t="s">
        <v>454</v>
      </c>
      <c r="N49" s="8" t="s">
        <v>516</v>
      </c>
      <c r="O49" s="8" t="s">
        <v>460</v>
      </c>
      <c r="P49" s="1" t="str">
        <f t="shared" si="0"/>
        <v>13/05/2026</v>
      </c>
      <c r="Q49" s="18">
        <v>46155</v>
      </c>
      <c r="R49" s="19">
        <f ca="1">Table13[[#This Row],[Column1]]-TODAY()</f>
        <v>-94</v>
      </c>
    </row>
    <row r="50" spans="1:18">
      <c r="A50" s="7" t="s">
        <v>109</v>
      </c>
      <c r="B50" s="1" t="s">
        <v>110</v>
      </c>
      <c r="C50" s="1">
        <v>3</v>
      </c>
      <c r="D50" s="1" t="s">
        <v>14</v>
      </c>
      <c r="E50" s="1" t="s">
        <v>15</v>
      </c>
      <c r="F50" s="1">
        <v>3</v>
      </c>
      <c r="G50" s="1" t="s">
        <v>16</v>
      </c>
      <c r="H50" s="1" t="s">
        <v>17</v>
      </c>
      <c r="I50" s="1" t="s">
        <v>15</v>
      </c>
      <c r="J50" s="1" t="s">
        <v>15</v>
      </c>
      <c r="K50" s="1">
        <v>17803</v>
      </c>
      <c r="L50" s="2">
        <v>53409</v>
      </c>
      <c r="M50" s="5" t="s">
        <v>454</v>
      </c>
      <c r="N50" s="8" t="s">
        <v>516</v>
      </c>
      <c r="O50" s="8" t="s">
        <v>460</v>
      </c>
      <c r="P50" s="1" t="str">
        <f t="shared" si="0"/>
        <v>13/05/2026</v>
      </c>
      <c r="Q50" s="18">
        <v>46155</v>
      </c>
      <c r="R50" s="19">
        <f ca="1">Table13[[#This Row],[Column1]]-TODAY()</f>
        <v>-94</v>
      </c>
    </row>
    <row r="51" spans="1:18">
      <c r="A51" s="7" t="s">
        <v>114</v>
      </c>
      <c r="B51" s="1" t="s">
        <v>115</v>
      </c>
      <c r="C51" s="1">
        <v>10</v>
      </c>
      <c r="D51" s="1" t="s">
        <v>14</v>
      </c>
      <c r="E51" s="1" t="s">
        <v>15</v>
      </c>
      <c r="F51" s="1">
        <v>10</v>
      </c>
      <c r="G51" s="1" t="s">
        <v>16</v>
      </c>
      <c r="H51" s="1" t="s">
        <v>116</v>
      </c>
      <c r="I51" s="1" t="s">
        <v>15</v>
      </c>
      <c r="J51" s="1" t="s">
        <v>15</v>
      </c>
      <c r="K51" s="1">
        <v>13687.1</v>
      </c>
      <c r="L51" s="2">
        <v>136871</v>
      </c>
      <c r="M51" s="5" t="s">
        <v>454</v>
      </c>
      <c r="N51" s="8" t="s">
        <v>516</v>
      </c>
      <c r="O51" s="8" t="s">
        <v>460</v>
      </c>
      <c r="P51" s="1" t="str">
        <f t="shared" si="0"/>
        <v>13/05/2026</v>
      </c>
      <c r="Q51" s="18">
        <v>46155</v>
      </c>
      <c r="R51" s="19">
        <f ca="1">Table13[[#This Row],[Column1]]-TODAY()</f>
        <v>-94</v>
      </c>
    </row>
    <row r="52" spans="1:18">
      <c r="A52" s="7" t="s">
        <v>117</v>
      </c>
      <c r="B52" s="1" t="s">
        <v>118</v>
      </c>
      <c r="C52" s="1">
        <v>6</v>
      </c>
      <c r="D52" s="1" t="s">
        <v>14</v>
      </c>
      <c r="E52" s="1" t="s">
        <v>15</v>
      </c>
      <c r="F52" s="1">
        <v>6</v>
      </c>
      <c r="G52" s="1" t="s">
        <v>16</v>
      </c>
      <c r="H52" s="1" t="s">
        <v>62</v>
      </c>
      <c r="I52" s="1" t="s">
        <v>15</v>
      </c>
      <c r="J52" s="1" t="s">
        <v>15</v>
      </c>
      <c r="K52" s="1">
        <v>38867.166666669997</v>
      </c>
      <c r="L52" s="2">
        <v>233203</v>
      </c>
      <c r="M52" s="5" t="s">
        <v>454</v>
      </c>
      <c r="N52" s="8" t="s">
        <v>516</v>
      </c>
      <c r="O52" s="8" t="s">
        <v>460</v>
      </c>
      <c r="P52" s="1" t="str">
        <f t="shared" si="0"/>
        <v>13/05/2026</v>
      </c>
      <c r="Q52" s="18">
        <v>46155</v>
      </c>
      <c r="R52" s="19">
        <f ca="1">Table13[[#This Row],[Column1]]-TODAY()</f>
        <v>-94</v>
      </c>
    </row>
    <row r="53" spans="1:18">
      <c r="A53" s="7" t="s">
        <v>119</v>
      </c>
      <c r="B53" s="1" t="s">
        <v>120</v>
      </c>
      <c r="C53" s="1">
        <v>7</v>
      </c>
      <c r="D53" s="1" t="s">
        <v>14</v>
      </c>
      <c r="E53" s="1" t="s">
        <v>15</v>
      </c>
      <c r="F53" s="1">
        <v>7</v>
      </c>
      <c r="G53" s="1" t="s">
        <v>16</v>
      </c>
      <c r="H53" s="1" t="s">
        <v>17</v>
      </c>
      <c r="I53" s="1" t="s">
        <v>15</v>
      </c>
      <c r="J53" s="1" t="s">
        <v>15</v>
      </c>
      <c r="K53" s="1">
        <v>16564</v>
      </c>
      <c r="L53" s="2">
        <v>115948</v>
      </c>
      <c r="M53" s="5" t="s">
        <v>454</v>
      </c>
      <c r="N53" s="8" t="s">
        <v>516</v>
      </c>
      <c r="O53" s="8" t="s">
        <v>460</v>
      </c>
      <c r="P53" s="1" t="str">
        <f t="shared" si="0"/>
        <v>13/05/2026</v>
      </c>
      <c r="Q53" s="18">
        <v>46155</v>
      </c>
      <c r="R53" s="19">
        <f ca="1">Table13[[#This Row],[Column1]]-TODAY()</f>
        <v>-94</v>
      </c>
    </row>
    <row r="54" spans="1:18">
      <c r="A54" s="7" t="s">
        <v>121</v>
      </c>
      <c r="B54" s="1" t="s">
        <v>122</v>
      </c>
      <c r="C54" s="1">
        <v>6</v>
      </c>
      <c r="D54" s="1" t="s">
        <v>14</v>
      </c>
      <c r="E54" s="1" t="s">
        <v>15</v>
      </c>
      <c r="F54" s="1">
        <v>6</v>
      </c>
      <c r="G54" s="1" t="s">
        <v>16</v>
      </c>
      <c r="H54" s="1" t="s">
        <v>26</v>
      </c>
      <c r="I54" s="1" t="s">
        <v>15</v>
      </c>
      <c r="J54" s="1" t="s">
        <v>15</v>
      </c>
      <c r="K54" s="1">
        <v>20039.83333333</v>
      </c>
      <c r="L54" s="2">
        <v>120239</v>
      </c>
      <c r="M54" s="5" t="s">
        <v>454</v>
      </c>
      <c r="N54" s="8" t="s">
        <v>516</v>
      </c>
      <c r="O54" s="8" t="s">
        <v>460</v>
      </c>
      <c r="P54" s="1" t="str">
        <f t="shared" si="0"/>
        <v>13/05/2026</v>
      </c>
      <c r="Q54" s="18">
        <v>46155</v>
      </c>
      <c r="R54" s="19">
        <f ca="1">Table13[[#This Row],[Column1]]-TODAY()</f>
        <v>-94</v>
      </c>
    </row>
    <row r="55" spans="1:18">
      <c r="A55" s="7" t="s">
        <v>123</v>
      </c>
      <c r="B55" s="1" t="s">
        <v>124</v>
      </c>
      <c r="C55" s="1">
        <v>9</v>
      </c>
      <c r="D55" s="1" t="s">
        <v>14</v>
      </c>
      <c r="E55" s="1" t="s">
        <v>15</v>
      </c>
      <c r="F55" s="1">
        <v>9</v>
      </c>
      <c r="G55" s="1" t="s">
        <v>16</v>
      </c>
      <c r="H55" s="1" t="s">
        <v>75</v>
      </c>
      <c r="I55" s="1" t="s">
        <v>15</v>
      </c>
      <c r="J55" s="1" t="s">
        <v>15</v>
      </c>
      <c r="K55" s="1">
        <v>13107.88888889</v>
      </c>
      <c r="L55" s="2">
        <v>117971</v>
      </c>
      <c r="M55" s="5" t="s">
        <v>454</v>
      </c>
      <c r="N55" s="8" t="s">
        <v>516</v>
      </c>
      <c r="O55" s="8" t="s">
        <v>460</v>
      </c>
      <c r="P55" s="1" t="str">
        <f t="shared" si="0"/>
        <v>13/05/2026</v>
      </c>
      <c r="Q55" s="18">
        <v>46155</v>
      </c>
      <c r="R55" s="19">
        <f ca="1">Table13[[#This Row],[Column1]]-TODAY()</f>
        <v>-94</v>
      </c>
    </row>
    <row r="56" spans="1:18">
      <c r="A56" s="7" t="s">
        <v>130</v>
      </c>
      <c r="B56" s="1" t="s">
        <v>131</v>
      </c>
      <c r="C56" s="1">
        <v>13</v>
      </c>
      <c r="D56" s="1" t="s">
        <v>14</v>
      </c>
      <c r="E56" s="1" t="s">
        <v>15</v>
      </c>
      <c r="F56" s="1">
        <v>13</v>
      </c>
      <c r="G56" s="1" t="s">
        <v>132</v>
      </c>
      <c r="H56" s="1" t="s">
        <v>133</v>
      </c>
      <c r="I56" s="1" t="s">
        <v>15</v>
      </c>
      <c r="J56" s="1" t="s">
        <v>15</v>
      </c>
      <c r="K56" s="1">
        <v>108694.23076922999</v>
      </c>
      <c r="L56" s="2">
        <v>1413025</v>
      </c>
      <c r="M56" s="5" t="s">
        <v>454</v>
      </c>
      <c r="N56" s="8" t="s">
        <v>516</v>
      </c>
      <c r="O56" s="8" t="s">
        <v>460</v>
      </c>
      <c r="P56" s="1" t="str">
        <f t="shared" si="0"/>
        <v>13/05/2026</v>
      </c>
      <c r="Q56" s="18">
        <v>46155</v>
      </c>
      <c r="R56" s="19">
        <f ca="1">Table13[[#This Row],[Column1]]-TODAY()</f>
        <v>-94</v>
      </c>
    </row>
    <row r="57" spans="1:18">
      <c r="A57" s="7" t="s">
        <v>134</v>
      </c>
      <c r="B57" s="1" t="s">
        <v>135</v>
      </c>
      <c r="C57" s="1">
        <v>3</v>
      </c>
      <c r="D57" s="1" t="s">
        <v>14</v>
      </c>
      <c r="E57" s="1" t="s">
        <v>15</v>
      </c>
      <c r="F57" s="1">
        <v>3</v>
      </c>
      <c r="G57" s="1" t="s">
        <v>16</v>
      </c>
      <c r="H57" s="1" t="s">
        <v>23</v>
      </c>
      <c r="I57" s="1" t="s">
        <v>15</v>
      </c>
      <c r="J57" s="1" t="s">
        <v>15</v>
      </c>
      <c r="K57" s="1">
        <v>11075.33333333</v>
      </c>
      <c r="L57" s="2">
        <v>33226</v>
      </c>
      <c r="M57" s="5" t="s">
        <v>454</v>
      </c>
      <c r="N57" s="8" t="s">
        <v>516</v>
      </c>
      <c r="O57" s="8" t="s">
        <v>460</v>
      </c>
      <c r="P57" s="1" t="str">
        <f t="shared" si="0"/>
        <v>13/05/2026</v>
      </c>
      <c r="Q57" s="18">
        <v>46155</v>
      </c>
      <c r="R57" s="19">
        <f ca="1">Table13[[#This Row],[Column1]]-TODAY()</f>
        <v>-94</v>
      </c>
    </row>
    <row r="58" spans="1:18">
      <c r="A58" s="7" t="s">
        <v>136</v>
      </c>
      <c r="B58" s="1" t="s">
        <v>137</v>
      </c>
      <c r="C58" s="1">
        <v>3</v>
      </c>
      <c r="D58" s="1" t="s">
        <v>14</v>
      </c>
      <c r="E58" s="1" t="s">
        <v>15</v>
      </c>
      <c r="F58" s="1">
        <v>3</v>
      </c>
      <c r="G58" s="1" t="s">
        <v>16</v>
      </c>
      <c r="H58" s="1" t="s">
        <v>116</v>
      </c>
      <c r="I58" s="1" t="s">
        <v>15</v>
      </c>
      <c r="J58" s="1" t="s">
        <v>15</v>
      </c>
      <c r="K58" s="1">
        <v>20981</v>
      </c>
      <c r="L58" s="2">
        <v>62943</v>
      </c>
      <c r="M58" s="5" t="s">
        <v>454</v>
      </c>
      <c r="N58" s="8" t="s">
        <v>516</v>
      </c>
      <c r="O58" s="8" t="s">
        <v>460</v>
      </c>
      <c r="P58" s="1" t="str">
        <f t="shared" si="0"/>
        <v>13/05/2026</v>
      </c>
      <c r="Q58" s="18">
        <v>46155</v>
      </c>
      <c r="R58" s="19">
        <f ca="1">Table13[[#This Row],[Column1]]-TODAY()</f>
        <v>-94</v>
      </c>
    </row>
    <row r="59" spans="1:18">
      <c r="A59" s="7" t="s">
        <v>138</v>
      </c>
      <c r="B59" s="1" t="s">
        <v>139</v>
      </c>
      <c r="C59" s="1">
        <v>2</v>
      </c>
      <c r="D59" s="1" t="s">
        <v>14</v>
      </c>
      <c r="E59" s="1" t="s">
        <v>15</v>
      </c>
      <c r="F59" s="1">
        <v>2</v>
      </c>
      <c r="G59" s="1" t="s">
        <v>16</v>
      </c>
      <c r="H59" s="1" t="s">
        <v>116</v>
      </c>
      <c r="I59" s="1" t="s">
        <v>15</v>
      </c>
      <c r="J59" s="1" t="s">
        <v>15</v>
      </c>
      <c r="K59" s="1">
        <v>85031</v>
      </c>
      <c r="L59" s="2">
        <v>170062</v>
      </c>
      <c r="M59" s="5" t="s">
        <v>454</v>
      </c>
      <c r="N59" s="8" t="s">
        <v>516</v>
      </c>
      <c r="O59" s="8" t="s">
        <v>460</v>
      </c>
      <c r="P59" s="1" t="str">
        <f t="shared" si="0"/>
        <v>13/05/2026</v>
      </c>
      <c r="Q59" s="18">
        <v>46155</v>
      </c>
      <c r="R59" s="19">
        <f ca="1">Table13[[#This Row],[Column1]]-TODAY()</f>
        <v>-94</v>
      </c>
    </row>
    <row r="60" spans="1:18">
      <c r="A60" s="7" t="s">
        <v>140</v>
      </c>
      <c r="B60" s="1" t="s">
        <v>100</v>
      </c>
      <c r="C60" s="1">
        <v>4</v>
      </c>
      <c r="D60" s="1" t="s">
        <v>14</v>
      </c>
      <c r="E60" s="1" t="s">
        <v>15</v>
      </c>
      <c r="F60" s="1">
        <v>4</v>
      </c>
      <c r="G60" s="1" t="s">
        <v>16</v>
      </c>
      <c r="H60" s="1" t="s">
        <v>101</v>
      </c>
      <c r="I60" s="1" t="s">
        <v>15</v>
      </c>
      <c r="J60" s="1" t="s">
        <v>15</v>
      </c>
      <c r="K60" s="1">
        <v>6130</v>
      </c>
      <c r="L60" s="2">
        <v>24520</v>
      </c>
      <c r="M60" s="5" t="s">
        <v>454</v>
      </c>
      <c r="N60" s="8" t="s">
        <v>516</v>
      </c>
      <c r="O60" s="8" t="s">
        <v>460</v>
      </c>
      <c r="P60" s="1" t="str">
        <f t="shared" si="0"/>
        <v>13/05/2026</v>
      </c>
      <c r="Q60" s="18">
        <v>46155</v>
      </c>
      <c r="R60" s="19">
        <f ca="1">Table13[[#This Row],[Column1]]-TODAY()</f>
        <v>-94</v>
      </c>
    </row>
    <row r="61" spans="1:18">
      <c r="A61" s="7" t="s">
        <v>141</v>
      </c>
      <c r="B61" s="1" t="s">
        <v>142</v>
      </c>
      <c r="C61" s="1">
        <v>9</v>
      </c>
      <c r="D61" s="1" t="s">
        <v>14</v>
      </c>
      <c r="E61" s="1" t="s">
        <v>15</v>
      </c>
      <c r="F61" s="1">
        <v>9</v>
      </c>
      <c r="G61" s="1" t="s">
        <v>16</v>
      </c>
      <c r="H61" s="1" t="s">
        <v>17</v>
      </c>
      <c r="I61" s="1" t="s">
        <v>15</v>
      </c>
      <c r="J61" s="1" t="s">
        <v>15</v>
      </c>
      <c r="K61" s="1">
        <v>8136.3333333299997</v>
      </c>
      <c r="L61" s="2">
        <v>73227</v>
      </c>
      <c r="M61" s="5" t="s">
        <v>454</v>
      </c>
      <c r="N61" s="8" t="s">
        <v>516</v>
      </c>
      <c r="O61" s="8" t="s">
        <v>460</v>
      </c>
      <c r="P61" s="1" t="str">
        <f t="shared" si="0"/>
        <v>13/05/2026</v>
      </c>
      <c r="Q61" s="18">
        <v>46155</v>
      </c>
      <c r="R61" s="19">
        <f ca="1">Table13[[#This Row],[Column1]]-TODAY()</f>
        <v>-94</v>
      </c>
    </row>
    <row r="62" spans="1:18">
      <c r="A62" s="7" t="s">
        <v>143</v>
      </c>
      <c r="B62" s="1" t="s">
        <v>144</v>
      </c>
      <c r="C62" s="1">
        <v>5</v>
      </c>
      <c r="D62" s="1" t="s">
        <v>14</v>
      </c>
      <c r="E62" s="1" t="s">
        <v>15</v>
      </c>
      <c r="F62" s="1">
        <v>5</v>
      </c>
      <c r="G62" s="1" t="s">
        <v>16</v>
      </c>
      <c r="H62" s="1" t="s">
        <v>23</v>
      </c>
      <c r="I62" s="1" t="s">
        <v>15</v>
      </c>
      <c r="J62" s="1" t="s">
        <v>15</v>
      </c>
      <c r="K62" s="1">
        <v>14821.2</v>
      </c>
      <c r="L62" s="2">
        <v>74106</v>
      </c>
      <c r="M62" s="5" t="s">
        <v>454</v>
      </c>
      <c r="N62" s="8" t="s">
        <v>516</v>
      </c>
      <c r="O62" s="8" t="s">
        <v>460</v>
      </c>
      <c r="P62" s="1" t="str">
        <f t="shared" si="0"/>
        <v>13/05/2026</v>
      </c>
      <c r="Q62" s="18">
        <v>46155</v>
      </c>
      <c r="R62" s="19">
        <f ca="1">Table13[[#This Row],[Column1]]-TODAY()</f>
        <v>-94</v>
      </c>
    </row>
    <row r="63" spans="1:18">
      <c r="A63" s="7" t="s">
        <v>145</v>
      </c>
      <c r="B63" s="1" t="s">
        <v>146</v>
      </c>
      <c r="C63" s="1">
        <v>3</v>
      </c>
      <c r="D63" s="1" t="s">
        <v>14</v>
      </c>
      <c r="E63" s="1" t="s">
        <v>15</v>
      </c>
      <c r="F63" s="1">
        <v>3</v>
      </c>
      <c r="G63" s="1" t="s">
        <v>16</v>
      </c>
      <c r="H63" s="1" t="s">
        <v>17</v>
      </c>
      <c r="I63" s="1" t="s">
        <v>15</v>
      </c>
      <c r="J63" s="1" t="s">
        <v>15</v>
      </c>
      <c r="K63" s="1">
        <v>37408</v>
      </c>
      <c r="L63" s="2">
        <v>112224</v>
      </c>
      <c r="M63" s="5" t="s">
        <v>454</v>
      </c>
      <c r="N63" s="8" t="s">
        <v>516</v>
      </c>
      <c r="O63" s="8" t="s">
        <v>460</v>
      </c>
      <c r="P63" s="1" t="str">
        <f t="shared" si="0"/>
        <v>13/05/2026</v>
      </c>
      <c r="Q63" s="18">
        <v>46155</v>
      </c>
      <c r="R63" s="19">
        <f ca="1">Table13[[#This Row],[Column1]]-TODAY()</f>
        <v>-94</v>
      </c>
    </row>
    <row r="64" spans="1:18">
      <c r="A64" s="7" t="s">
        <v>147</v>
      </c>
      <c r="B64" s="1" t="s">
        <v>148</v>
      </c>
      <c r="C64" s="1">
        <v>1</v>
      </c>
      <c r="D64" s="1" t="s">
        <v>14</v>
      </c>
      <c r="E64" s="1" t="s">
        <v>15</v>
      </c>
      <c r="F64" s="1">
        <v>1</v>
      </c>
      <c r="G64" s="1" t="s">
        <v>16</v>
      </c>
      <c r="H64" s="1" t="s">
        <v>101</v>
      </c>
      <c r="I64" s="1" t="s">
        <v>15</v>
      </c>
      <c r="J64" s="1" t="s">
        <v>15</v>
      </c>
      <c r="K64" s="1">
        <v>25341</v>
      </c>
      <c r="L64" s="2">
        <v>25341</v>
      </c>
      <c r="M64" s="5" t="s">
        <v>454</v>
      </c>
      <c r="N64" s="8" t="s">
        <v>516</v>
      </c>
      <c r="O64" s="8" t="s">
        <v>460</v>
      </c>
      <c r="P64" s="1" t="str">
        <f t="shared" si="0"/>
        <v>13/05/2026</v>
      </c>
      <c r="Q64" s="18">
        <v>46155</v>
      </c>
      <c r="R64" s="19">
        <f ca="1">Table13[[#This Row],[Column1]]-TODAY()</f>
        <v>-94</v>
      </c>
    </row>
    <row r="65" spans="1:18">
      <c r="A65" s="7" t="s">
        <v>149</v>
      </c>
      <c r="B65" s="1" t="s">
        <v>150</v>
      </c>
      <c r="C65" s="1">
        <v>9</v>
      </c>
      <c r="D65" s="1" t="s">
        <v>14</v>
      </c>
      <c r="E65" s="1" t="s">
        <v>15</v>
      </c>
      <c r="F65" s="1">
        <v>9</v>
      </c>
      <c r="G65" s="1" t="s">
        <v>16</v>
      </c>
      <c r="H65" s="1" t="s">
        <v>116</v>
      </c>
      <c r="I65" s="1" t="s">
        <v>15</v>
      </c>
      <c r="J65" s="1" t="s">
        <v>15</v>
      </c>
      <c r="K65" s="1">
        <v>13502</v>
      </c>
      <c r="L65" s="2">
        <v>121518</v>
      </c>
      <c r="M65" s="5" t="s">
        <v>454</v>
      </c>
      <c r="N65" s="8" t="s">
        <v>516</v>
      </c>
      <c r="O65" s="8" t="s">
        <v>460</v>
      </c>
      <c r="P65" s="1" t="str">
        <f t="shared" si="0"/>
        <v>13/05/2026</v>
      </c>
      <c r="Q65" s="18">
        <v>46155</v>
      </c>
      <c r="R65" s="19">
        <f ca="1">Table13[[#This Row],[Column1]]-TODAY()</f>
        <v>-94</v>
      </c>
    </row>
    <row r="66" spans="1:18">
      <c r="A66" s="7" t="s">
        <v>151</v>
      </c>
      <c r="B66" s="1" t="s">
        <v>152</v>
      </c>
      <c r="C66" s="1">
        <v>8</v>
      </c>
      <c r="D66" s="1" t="s">
        <v>14</v>
      </c>
      <c r="E66" s="1" t="s">
        <v>15</v>
      </c>
      <c r="F66" s="1">
        <v>8</v>
      </c>
      <c r="G66" s="1" t="s">
        <v>16</v>
      </c>
      <c r="H66" s="1" t="s">
        <v>17</v>
      </c>
      <c r="I66" s="1" t="s">
        <v>15</v>
      </c>
      <c r="J66" s="1" t="s">
        <v>15</v>
      </c>
      <c r="K66" s="1">
        <v>16662.625</v>
      </c>
      <c r="L66" s="2">
        <v>133301</v>
      </c>
      <c r="M66" s="5" t="s">
        <v>454</v>
      </c>
      <c r="N66" s="8" t="s">
        <v>516</v>
      </c>
      <c r="O66" s="8" t="s">
        <v>460</v>
      </c>
      <c r="P66" s="1" t="str">
        <f t="shared" ref="P66:P129" si="1">LEFT(M66,FIND("_",M66)-1)</f>
        <v>13/05/2026</v>
      </c>
      <c r="Q66" s="18">
        <v>46155</v>
      </c>
      <c r="R66" s="19">
        <f ca="1">Table13[[#This Row],[Column1]]-TODAY()</f>
        <v>-94</v>
      </c>
    </row>
    <row r="67" spans="1:18">
      <c r="A67" s="7" t="s">
        <v>153</v>
      </c>
      <c r="B67" s="1" t="s">
        <v>154</v>
      </c>
      <c r="C67" s="1">
        <v>7</v>
      </c>
      <c r="D67" s="1" t="s">
        <v>14</v>
      </c>
      <c r="E67" s="1" t="s">
        <v>15</v>
      </c>
      <c r="F67" s="1">
        <v>7</v>
      </c>
      <c r="G67" s="1" t="s">
        <v>16</v>
      </c>
      <c r="H67" s="1" t="s">
        <v>26</v>
      </c>
      <c r="I67" s="1" t="s">
        <v>15</v>
      </c>
      <c r="J67" s="1" t="s">
        <v>15</v>
      </c>
      <c r="K67" s="1">
        <v>8996.1428571399993</v>
      </c>
      <c r="L67" s="2">
        <v>62973</v>
      </c>
      <c r="M67" s="5" t="s">
        <v>454</v>
      </c>
      <c r="N67" s="8" t="s">
        <v>516</v>
      </c>
      <c r="O67" s="8" t="s">
        <v>460</v>
      </c>
      <c r="P67" s="1" t="str">
        <f t="shared" si="1"/>
        <v>13/05/2026</v>
      </c>
      <c r="Q67" s="18">
        <v>46155</v>
      </c>
      <c r="R67" s="19">
        <f ca="1">Table13[[#This Row],[Column1]]-TODAY()</f>
        <v>-94</v>
      </c>
    </row>
    <row r="68" spans="1:18">
      <c r="A68" s="7" t="s">
        <v>155</v>
      </c>
      <c r="B68" s="1" t="s">
        <v>156</v>
      </c>
      <c r="C68" s="1">
        <v>5</v>
      </c>
      <c r="D68" s="1" t="s">
        <v>14</v>
      </c>
      <c r="E68" s="1" t="s">
        <v>15</v>
      </c>
      <c r="F68" s="1">
        <v>5</v>
      </c>
      <c r="G68" s="1" t="s">
        <v>16</v>
      </c>
      <c r="H68" s="1" t="s">
        <v>26</v>
      </c>
      <c r="I68" s="1" t="s">
        <v>15</v>
      </c>
      <c r="J68" s="1" t="s">
        <v>15</v>
      </c>
      <c r="K68" s="1">
        <v>9203.2000000000007</v>
      </c>
      <c r="L68" s="2">
        <v>46016</v>
      </c>
      <c r="M68" s="5" t="s">
        <v>454</v>
      </c>
      <c r="N68" s="8" t="s">
        <v>516</v>
      </c>
      <c r="O68" s="8" t="s">
        <v>460</v>
      </c>
      <c r="P68" s="1" t="str">
        <f t="shared" si="1"/>
        <v>13/05/2026</v>
      </c>
      <c r="Q68" s="18">
        <v>46155</v>
      </c>
      <c r="R68" s="19">
        <f ca="1">Table13[[#This Row],[Column1]]-TODAY()</f>
        <v>-94</v>
      </c>
    </row>
    <row r="69" spans="1:18">
      <c r="A69" s="7" t="s">
        <v>157</v>
      </c>
      <c r="B69" s="1" t="s">
        <v>158</v>
      </c>
      <c r="C69" s="1">
        <v>8</v>
      </c>
      <c r="D69" s="1" t="s">
        <v>14</v>
      </c>
      <c r="E69" s="1" t="s">
        <v>15</v>
      </c>
      <c r="F69" s="1">
        <v>8</v>
      </c>
      <c r="G69" s="1" t="s">
        <v>16</v>
      </c>
      <c r="H69" s="1" t="s">
        <v>26</v>
      </c>
      <c r="I69" s="1" t="s">
        <v>15</v>
      </c>
      <c r="J69" s="1" t="s">
        <v>15</v>
      </c>
      <c r="K69" s="1">
        <v>6605.5</v>
      </c>
      <c r="L69" s="2">
        <v>52844</v>
      </c>
      <c r="M69" s="5" t="s">
        <v>454</v>
      </c>
      <c r="N69" s="8" t="s">
        <v>516</v>
      </c>
      <c r="O69" s="8" t="s">
        <v>460</v>
      </c>
      <c r="P69" s="1" t="str">
        <f t="shared" si="1"/>
        <v>13/05/2026</v>
      </c>
      <c r="Q69" s="18">
        <v>46155</v>
      </c>
      <c r="R69" s="19">
        <f ca="1">Table13[[#This Row],[Column1]]-TODAY()</f>
        <v>-94</v>
      </c>
    </row>
    <row r="70" spans="1:18">
      <c r="A70" s="7" t="s">
        <v>159</v>
      </c>
      <c r="B70" s="1" t="s">
        <v>160</v>
      </c>
      <c r="C70" s="1">
        <v>6</v>
      </c>
      <c r="D70" s="1" t="s">
        <v>14</v>
      </c>
      <c r="E70" s="1" t="s">
        <v>15</v>
      </c>
      <c r="F70" s="1">
        <v>6</v>
      </c>
      <c r="G70" s="1" t="s">
        <v>16</v>
      </c>
      <c r="H70" s="1" t="s">
        <v>62</v>
      </c>
      <c r="I70" s="1" t="s">
        <v>15</v>
      </c>
      <c r="J70" s="1" t="s">
        <v>15</v>
      </c>
      <c r="K70" s="1">
        <v>41310.5</v>
      </c>
      <c r="L70" s="2">
        <v>247863</v>
      </c>
      <c r="M70" s="5" t="s">
        <v>454</v>
      </c>
      <c r="N70" s="8" t="s">
        <v>516</v>
      </c>
      <c r="O70" s="8" t="s">
        <v>460</v>
      </c>
      <c r="P70" s="1" t="str">
        <f t="shared" si="1"/>
        <v>13/05/2026</v>
      </c>
      <c r="Q70" s="18">
        <v>46155</v>
      </c>
      <c r="R70" s="19">
        <f ca="1">Table13[[#This Row],[Column1]]-TODAY()</f>
        <v>-94</v>
      </c>
    </row>
    <row r="71" spans="1:18">
      <c r="A71" s="7" t="s">
        <v>161</v>
      </c>
      <c r="B71" s="1" t="s">
        <v>162</v>
      </c>
      <c r="C71" s="1">
        <v>3</v>
      </c>
      <c r="D71" s="1" t="s">
        <v>14</v>
      </c>
      <c r="E71" s="1" t="s">
        <v>15</v>
      </c>
      <c r="F71" s="1">
        <v>3</v>
      </c>
      <c r="G71" s="1" t="s">
        <v>16</v>
      </c>
      <c r="H71" s="1" t="s">
        <v>75</v>
      </c>
      <c r="I71" s="1" t="s">
        <v>15</v>
      </c>
      <c r="J71" s="1" t="s">
        <v>15</v>
      </c>
      <c r="K71" s="1">
        <v>22032</v>
      </c>
      <c r="L71" s="2">
        <v>66096</v>
      </c>
      <c r="M71" s="5" t="s">
        <v>454</v>
      </c>
      <c r="N71" s="8" t="s">
        <v>516</v>
      </c>
      <c r="O71" s="8" t="s">
        <v>460</v>
      </c>
      <c r="P71" s="1" t="str">
        <f t="shared" si="1"/>
        <v>13/05/2026</v>
      </c>
      <c r="Q71" s="18">
        <v>46155</v>
      </c>
      <c r="R71" s="19">
        <f ca="1">Table13[[#This Row],[Column1]]-TODAY()</f>
        <v>-94</v>
      </c>
    </row>
    <row r="72" spans="1:18">
      <c r="A72" s="7" t="s">
        <v>163</v>
      </c>
      <c r="B72" s="1" t="s">
        <v>98</v>
      </c>
      <c r="C72" s="1">
        <v>6</v>
      </c>
      <c r="D72" s="1" t="s">
        <v>14</v>
      </c>
      <c r="E72" s="1" t="s">
        <v>15</v>
      </c>
      <c r="F72" s="1">
        <v>6</v>
      </c>
      <c r="G72" s="1" t="s">
        <v>16</v>
      </c>
      <c r="H72" s="1" t="s">
        <v>75</v>
      </c>
      <c r="I72" s="1" t="s">
        <v>15</v>
      </c>
      <c r="J72" s="1" t="s">
        <v>15</v>
      </c>
      <c r="K72" s="1">
        <v>40707.333333330003</v>
      </c>
      <c r="L72" s="2">
        <v>244244</v>
      </c>
      <c r="M72" s="5" t="s">
        <v>454</v>
      </c>
      <c r="N72" s="8" t="s">
        <v>516</v>
      </c>
      <c r="O72" s="8" t="s">
        <v>460</v>
      </c>
      <c r="P72" s="1" t="str">
        <f t="shared" si="1"/>
        <v>13/05/2026</v>
      </c>
      <c r="Q72" s="18">
        <v>46155</v>
      </c>
      <c r="R72" s="19">
        <f ca="1">Table13[[#This Row],[Column1]]-TODAY()</f>
        <v>-94</v>
      </c>
    </row>
    <row r="73" spans="1:18">
      <c r="A73" s="7" t="s">
        <v>174</v>
      </c>
      <c r="B73" s="1" t="s">
        <v>175</v>
      </c>
      <c r="C73" s="1">
        <v>5</v>
      </c>
      <c r="D73" s="1" t="s">
        <v>14</v>
      </c>
      <c r="E73" s="1" t="s">
        <v>15</v>
      </c>
      <c r="F73" s="1">
        <v>5</v>
      </c>
      <c r="G73" s="1" t="s">
        <v>88</v>
      </c>
      <c r="H73" s="1" t="s">
        <v>30</v>
      </c>
      <c r="I73" s="1" t="s">
        <v>15</v>
      </c>
      <c r="J73" s="1" t="s">
        <v>15</v>
      </c>
      <c r="K73" s="1">
        <v>55000</v>
      </c>
      <c r="L73" s="2">
        <v>275000</v>
      </c>
      <c r="M73" s="5" t="s">
        <v>454</v>
      </c>
      <c r="N73" s="8" t="s">
        <v>516</v>
      </c>
      <c r="O73" s="8" t="s">
        <v>460</v>
      </c>
      <c r="P73" s="1" t="str">
        <f t="shared" si="1"/>
        <v>13/05/2026</v>
      </c>
      <c r="Q73" s="18">
        <v>46155</v>
      </c>
      <c r="R73" s="19">
        <f ca="1">Table13[[#This Row],[Column1]]-TODAY()</f>
        <v>-94</v>
      </c>
    </row>
    <row r="74" spans="1:18">
      <c r="A74" s="7" t="s">
        <v>176</v>
      </c>
      <c r="B74" s="1" t="s">
        <v>177</v>
      </c>
      <c r="C74" s="1">
        <v>7</v>
      </c>
      <c r="D74" s="1" t="s">
        <v>14</v>
      </c>
      <c r="E74" s="1" t="s">
        <v>15</v>
      </c>
      <c r="F74" s="1">
        <v>7</v>
      </c>
      <c r="G74" s="1" t="s">
        <v>16</v>
      </c>
      <c r="H74" s="1" t="s">
        <v>116</v>
      </c>
      <c r="I74" s="1" t="s">
        <v>15</v>
      </c>
      <c r="J74" s="1" t="s">
        <v>15</v>
      </c>
      <c r="K74" s="1">
        <v>21140</v>
      </c>
      <c r="L74" s="2">
        <v>147980</v>
      </c>
      <c r="M74" s="5" t="s">
        <v>454</v>
      </c>
      <c r="N74" s="8" t="s">
        <v>516</v>
      </c>
      <c r="O74" s="8" t="s">
        <v>460</v>
      </c>
      <c r="P74" s="1" t="str">
        <f t="shared" si="1"/>
        <v>13/05/2026</v>
      </c>
      <c r="Q74" s="18">
        <v>46155</v>
      </c>
      <c r="R74" s="19">
        <f ca="1">Table13[[#This Row],[Column1]]-TODAY()</f>
        <v>-94</v>
      </c>
    </row>
    <row r="75" spans="1:18">
      <c r="A75" s="7" t="s">
        <v>181</v>
      </c>
      <c r="B75" s="1" t="s">
        <v>182</v>
      </c>
      <c r="C75" s="1">
        <v>9</v>
      </c>
      <c r="D75" s="1" t="s">
        <v>14</v>
      </c>
      <c r="E75" s="1" t="s">
        <v>15</v>
      </c>
      <c r="F75" s="1">
        <v>9</v>
      </c>
      <c r="G75" s="1" t="s">
        <v>183</v>
      </c>
      <c r="H75" s="1" t="s">
        <v>184</v>
      </c>
      <c r="I75" s="1" t="s">
        <v>15</v>
      </c>
      <c r="J75" s="1" t="s">
        <v>15</v>
      </c>
      <c r="K75" s="1">
        <v>24661.88888889</v>
      </c>
      <c r="L75" s="2">
        <v>221957</v>
      </c>
      <c r="M75" s="5" t="s">
        <v>454</v>
      </c>
      <c r="N75" s="8" t="s">
        <v>516</v>
      </c>
      <c r="O75" s="8" t="s">
        <v>460</v>
      </c>
      <c r="P75" s="1" t="str">
        <f t="shared" si="1"/>
        <v>13/05/2026</v>
      </c>
      <c r="Q75" s="18">
        <v>46155</v>
      </c>
      <c r="R75" s="19">
        <f ca="1">Table13[[#This Row],[Column1]]-TODAY()</f>
        <v>-94</v>
      </c>
    </row>
    <row r="76" spans="1:18">
      <c r="A76" s="7" t="s">
        <v>185</v>
      </c>
      <c r="B76" s="1" t="s">
        <v>186</v>
      </c>
      <c r="C76" s="1">
        <v>5</v>
      </c>
      <c r="D76" s="1" t="s">
        <v>14</v>
      </c>
      <c r="E76" s="1" t="s">
        <v>15</v>
      </c>
      <c r="F76" s="1">
        <v>5</v>
      </c>
      <c r="G76" s="1" t="s">
        <v>183</v>
      </c>
      <c r="H76" s="1" t="s">
        <v>184</v>
      </c>
      <c r="I76" s="1" t="s">
        <v>15</v>
      </c>
      <c r="J76" s="1" t="s">
        <v>15</v>
      </c>
      <c r="K76" s="1">
        <v>10465</v>
      </c>
      <c r="L76" s="2">
        <v>52325</v>
      </c>
      <c r="M76" s="5" t="s">
        <v>454</v>
      </c>
      <c r="N76" s="8" t="s">
        <v>516</v>
      </c>
      <c r="O76" s="8" t="s">
        <v>460</v>
      </c>
      <c r="P76" s="1" t="str">
        <f t="shared" si="1"/>
        <v>13/05/2026</v>
      </c>
      <c r="Q76" s="18">
        <v>46155</v>
      </c>
      <c r="R76" s="19">
        <f ca="1">Table13[[#This Row],[Column1]]-TODAY()</f>
        <v>-94</v>
      </c>
    </row>
    <row r="77" spans="1:18">
      <c r="A77" s="7" t="s">
        <v>187</v>
      </c>
      <c r="B77" s="1" t="s">
        <v>188</v>
      </c>
      <c r="C77" s="1">
        <v>8</v>
      </c>
      <c r="D77" s="1" t="s">
        <v>14</v>
      </c>
      <c r="E77" s="1" t="s">
        <v>15</v>
      </c>
      <c r="F77" s="1">
        <v>8</v>
      </c>
      <c r="G77" s="1" t="s">
        <v>183</v>
      </c>
      <c r="H77" s="1" t="s">
        <v>184</v>
      </c>
      <c r="I77" s="1" t="s">
        <v>15</v>
      </c>
      <c r="J77" s="1" t="s">
        <v>15</v>
      </c>
      <c r="K77" s="1">
        <v>18930.375</v>
      </c>
      <c r="L77" s="2">
        <v>151443</v>
      </c>
      <c r="M77" s="5" t="s">
        <v>454</v>
      </c>
      <c r="N77" s="8" t="s">
        <v>516</v>
      </c>
      <c r="O77" s="8" t="s">
        <v>460</v>
      </c>
      <c r="P77" s="1" t="str">
        <f t="shared" si="1"/>
        <v>13/05/2026</v>
      </c>
      <c r="Q77" s="18">
        <v>46155</v>
      </c>
      <c r="R77" s="19">
        <f ca="1">Table13[[#This Row],[Column1]]-TODAY()</f>
        <v>-94</v>
      </c>
    </row>
    <row r="78" spans="1:18">
      <c r="A78" s="7" t="s">
        <v>201</v>
      </c>
      <c r="B78" s="1" t="s">
        <v>202</v>
      </c>
      <c r="C78" s="1">
        <v>10</v>
      </c>
      <c r="D78" s="1" t="s">
        <v>14</v>
      </c>
      <c r="E78" s="1" t="s">
        <v>15</v>
      </c>
      <c r="F78" s="1">
        <v>10</v>
      </c>
      <c r="G78" s="1" t="s">
        <v>183</v>
      </c>
      <c r="H78" s="1" t="s">
        <v>184</v>
      </c>
      <c r="I78" s="1" t="s">
        <v>15</v>
      </c>
      <c r="J78" s="1" t="s">
        <v>15</v>
      </c>
      <c r="K78" s="1">
        <v>10098.200000000001</v>
      </c>
      <c r="L78" s="2">
        <v>100982</v>
      </c>
      <c r="M78" s="5" t="s">
        <v>454</v>
      </c>
      <c r="N78" s="8" t="s">
        <v>516</v>
      </c>
      <c r="O78" s="8" t="s">
        <v>460</v>
      </c>
      <c r="P78" s="1" t="str">
        <f t="shared" si="1"/>
        <v>13/05/2026</v>
      </c>
      <c r="Q78" s="18">
        <v>46155</v>
      </c>
      <c r="R78" s="19">
        <f ca="1">Table13[[#This Row],[Column1]]-TODAY()</f>
        <v>-94</v>
      </c>
    </row>
    <row r="79" spans="1:18">
      <c r="A79" s="7" t="s">
        <v>215</v>
      </c>
      <c r="B79" s="1" t="s">
        <v>216</v>
      </c>
      <c r="C79" s="1">
        <v>4</v>
      </c>
      <c r="D79" s="1" t="s">
        <v>14</v>
      </c>
      <c r="E79" s="1" t="s">
        <v>15</v>
      </c>
      <c r="F79" s="1">
        <v>4</v>
      </c>
      <c r="G79" s="1" t="s">
        <v>16</v>
      </c>
      <c r="H79" s="1" t="s">
        <v>116</v>
      </c>
      <c r="I79" s="1" t="s">
        <v>15</v>
      </c>
      <c r="J79" s="1" t="s">
        <v>15</v>
      </c>
      <c r="K79" s="1">
        <v>18891.75</v>
      </c>
      <c r="L79" s="2">
        <v>75567</v>
      </c>
      <c r="M79" s="5" t="s">
        <v>454</v>
      </c>
      <c r="N79" s="8" t="s">
        <v>516</v>
      </c>
      <c r="O79" s="8" t="s">
        <v>460</v>
      </c>
      <c r="P79" s="1" t="str">
        <f t="shared" si="1"/>
        <v>13/05/2026</v>
      </c>
      <c r="Q79" s="18">
        <v>46155</v>
      </c>
      <c r="R79" s="19">
        <f ca="1">Table13[[#This Row],[Column1]]-TODAY()</f>
        <v>-94</v>
      </c>
    </row>
    <row r="80" spans="1:18">
      <c r="A80" s="7" t="s">
        <v>217</v>
      </c>
      <c r="B80" s="1" t="s">
        <v>218</v>
      </c>
      <c r="C80" s="1">
        <v>370</v>
      </c>
      <c r="D80" s="1" t="s">
        <v>14</v>
      </c>
      <c r="E80" s="1" t="s">
        <v>15</v>
      </c>
      <c r="F80" s="1">
        <v>370</v>
      </c>
      <c r="G80" s="1" t="s">
        <v>219</v>
      </c>
      <c r="H80" s="1" t="s">
        <v>30</v>
      </c>
      <c r="I80" s="1" t="s">
        <v>15</v>
      </c>
      <c r="J80" s="1" t="s">
        <v>15</v>
      </c>
      <c r="K80" s="1">
        <v>3800</v>
      </c>
      <c r="L80" s="2">
        <v>1406000</v>
      </c>
      <c r="M80" s="5" t="s">
        <v>454</v>
      </c>
      <c r="N80" s="8" t="s">
        <v>516</v>
      </c>
      <c r="O80" s="8" t="s">
        <v>460</v>
      </c>
      <c r="P80" s="1" t="str">
        <f t="shared" si="1"/>
        <v>13/05/2026</v>
      </c>
      <c r="Q80" s="18">
        <v>46155</v>
      </c>
      <c r="R80" s="19">
        <f ca="1">Table13[[#This Row],[Column1]]-TODAY()</f>
        <v>-94</v>
      </c>
    </row>
    <row r="81" spans="1:18">
      <c r="A81" s="7" t="s">
        <v>220</v>
      </c>
      <c r="B81" s="1" t="s">
        <v>221</v>
      </c>
      <c r="C81" s="1">
        <v>3.98E-3</v>
      </c>
      <c r="D81" s="1" t="s">
        <v>14</v>
      </c>
      <c r="E81" s="1" t="s">
        <v>15</v>
      </c>
      <c r="F81" s="1">
        <v>3.98E-3</v>
      </c>
      <c r="G81" s="1" t="s">
        <v>180</v>
      </c>
      <c r="H81" s="1" t="s">
        <v>133</v>
      </c>
      <c r="I81" s="1" t="s">
        <v>15</v>
      </c>
      <c r="J81" s="1" t="s">
        <v>15</v>
      </c>
      <c r="K81" s="1">
        <v>143216.08040201</v>
      </c>
      <c r="L81" s="2">
        <v>570</v>
      </c>
      <c r="M81" s="5" t="s">
        <v>454</v>
      </c>
      <c r="N81" s="8" t="s">
        <v>516</v>
      </c>
      <c r="O81" s="8" t="s">
        <v>460</v>
      </c>
      <c r="P81" s="1" t="str">
        <f t="shared" si="1"/>
        <v>13/05/2026</v>
      </c>
      <c r="Q81" s="18">
        <v>46155</v>
      </c>
      <c r="R81" s="19">
        <f ca="1">Table13[[#This Row],[Column1]]-TODAY()</f>
        <v>-94</v>
      </c>
    </row>
    <row r="82" spans="1:18">
      <c r="A82" s="7" t="s">
        <v>225</v>
      </c>
      <c r="B82" s="1" t="s">
        <v>59</v>
      </c>
      <c r="C82" s="1">
        <v>3</v>
      </c>
      <c r="D82" s="1" t="s">
        <v>14</v>
      </c>
      <c r="E82" s="1" t="s">
        <v>15</v>
      </c>
      <c r="F82" s="1">
        <v>3</v>
      </c>
      <c r="G82" s="1" t="s">
        <v>16</v>
      </c>
      <c r="H82" s="1" t="s">
        <v>26</v>
      </c>
      <c r="I82" s="1" t="s">
        <v>15</v>
      </c>
      <c r="J82" s="1" t="s">
        <v>15</v>
      </c>
      <c r="K82" s="1">
        <v>14720</v>
      </c>
      <c r="L82" s="2">
        <v>44160</v>
      </c>
      <c r="M82" s="5" t="s">
        <v>454</v>
      </c>
      <c r="N82" s="8" t="s">
        <v>516</v>
      </c>
      <c r="O82" s="8" t="s">
        <v>460</v>
      </c>
      <c r="P82" s="1" t="str">
        <f t="shared" si="1"/>
        <v>13/05/2026</v>
      </c>
      <c r="Q82" s="18">
        <v>46155</v>
      </c>
      <c r="R82" s="19">
        <f ca="1">Table13[[#This Row],[Column1]]-TODAY()</f>
        <v>-94</v>
      </c>
    </row>
    <row r="83" spans="1:18">
      <c r="A83" s="7" t="s">
        <v>226</v>
      </c>
      <c r="B83" s="1" t="s">
        <v>227</v>
      </c>
      <c r="C83" s="1">
        <v>9</v>
      </c>
      <c r="D83" s="1" t="s">
        <v>14</v>
      </c>
      <c r="E83" s="1" t="s">
        <v>15</v>
      </c>
      <c r="F83" s="1">
        <v>9</v>
      </c>
      <c r="G83" s="1" t="s">
        <v>16</v>
      </c>
      <c r="H83" s="1" t="s">
        <v>17</v>
      </c>
      <c r="I83" s="1" t="s">
        <v>15</v>
      </c>
      <c r="J83" s="1" t="s">
        <v>15</v>
      </c>
      <c r="K83" s="1">
        <v>50466.22222222</v>
      </c>
      <c r="L83" s="2">
        <v>454196</v>
      </c>
      <c r="M83" s="5" t="s">
        <v>454</v>
      </c>
      <c r="N83" s="8" t="s">
        <v>516</v>
      </c>
      <c r="O83" s="8" t="s">
        <v>460</v>
      </c>
      <c r="P83" s="1" t="str">
        <f t="shared" si="1"/>
        <v>13/05/2026</v>
      </c>
      <c r="Q83" s="18">
        <v>46155</v>
      </c>
      <c r="R83" s="19">
        <f ca="1">Table13[[#This Row],[Column1]]-TODAY()</f>
        <v>-94</v>
      </c>
    </row>
    <row r="84" spans="1:18">
      <c r="A84" s="7" t="s">
        <v>228</v>
      </c>
      <c r="B84" s="1" t="s">
        <v>229</v>
      </c>
      <c r="C84" s="1">
        <v>8</v>
      </c>
      <c r="D84" s="1" t="s">
        <v>14</v>
      </c>
      <c r="E84" s="1" t="s">
        <v>15</v>
      </c>
      <c r="F84" s="1">
        <v>8</v>
      </c>
      <c r="G84" s="1" t="s">
        <v>16</v>
      </c>
      <c r="H84" s="1" t="s">
        <v>116</v>
      </c>
      <c r="I84" s="1" t="s">
        <v>15</v>
      </c>
      <c r="J84" s="1" t="s">
        <v>15</v>
      </c>
      <c r="K84" s="1">
        <v>13310.875</v>
      </c>
      <c r="L84" s="2">
        <v>106487</v>
      </c>
      <c r="M84" s="5" t="s">
        <v>454</v>
      </c>
      <c r="N84" s="8" t="s">
        <v>516</v>
      </c>
      <c r="O84" s="8" t="s">
        <v>460</v>
      </c>
      <c r="P84" s="1" t="str">
        <f t="shared" si="1"/>
        <v>13/05/2026</v>
      </c>
      <c r="Q84" s="18">
        <v>46155</v>
      </c>
      <c r="R84" s="19">
        <f ca="1">Table13[[#This Row],[Column1]]-TODAY()</f>
        <v>-94</v>
      </c>
    </row>
    <row r="85" spans="1:18">
      <c r="A85" s="7" t="s">
        <v>230</v>
      </c>
      <c r="B85" s="1" t="s">
        <v>231</v>
      </c>
      <c r="C85" s="1">
        <v>8</v>
      </c>
      <c r="D85" s="1" t="s">
        <v>14</v>
      </c>
      <c r="E85" s="1" t="s">
        <v>15</v>
      </c>
      <c r="F85" s="1">
        <v>8</v>
      </c>
      <c r="G85" s="1" t="s">
        <v>16</v>
      </c>
      <c r="H85" s="1" t="s">
        <v>232</v>
      </c>
      <c r="I85" s="1" t="s">
        <v>15</v>
      </c>
      <c r="J85" s="1" t="s">
        <v>15</v>
      </c>
      <c r="K85" s="1">
        <v>26505.875</v>
      </c>
      <c r="L85" s="2">
        <v>212047</v>
      </c>
      <c r="M85" s="5" t="s">
        <v>454</v>
      </c>
      <c r="N85" s="8" t="s">
        <v>516</v>
      </c>
      <c r="O85" s="8" t="s">
        <v>460</v>
      </c>
      <c r="P85" s="1" t="str">
        <f t="shared" si="1"/>
        <v>13/05/2026</v>
      </c>
      <c r="Q85" s="18">
        <v>46155</v>
      </c>
      <c r="R85" s="19">
        <f ca="1">Table13[[#This Row],[Column1]]-TODAY()</f>
        <v>-94</v>
      </c>
    </row>
    <row r="86" spans="1:18">
      <c r="A86" s="7" t="s">
        <v>233</v>
      </c>
      <c r="B86" s="1" t="s">
        <v>234</v>
      </c>
      <c r="C86" s="1">
        <v>5</v>
      </c>
      <c r="D86" s="1" t="s">
        <v>14</v>
      </c>
      <c r="E86" s="1" t="s">
        <v>15</v>
      </c>
      <c r="F86" s="1">
        <v>5</v>
      </c>
      <c r="G86" s="1" t="s">
        <v>166</v>
      </c>
      <c r="H86" s="1" t="s">
        <v>30</v>
      </c>
      <c r="I86" s="1" t="s">
        <v>15</v>
      </c>
      <c r="J86" s="1" t="s">
        <v>15</v>
      </c>
      <c r="K86" s="1">
        <v>17890</v>
      </c>
      <c r="L86" s="2">
        <v>89450</v>
      </c>
      <c r="M86" s="5" t="s">
        <v>454</v>
      </c>
      <c r="N86" s="8" t="s">
        <v>516</v>
      </c>
      <c r="O86" s="8" t="s">
        <v>460</v>
      </c>
      <c r="P86" s="1" t="str">
        <f t="shared" si="1"/>
        <v>13/05/2026</v>
      </c>
      <c r="Q86" s="18">
        <v>46155</v>
      </c>
      <c r="R86" s="19">
        <f ca="1">Table13[[#This Row],[Column1]]-TODAY()</f>
        <v>-94</v>
      </c>
    </row>
    <row r="87" spans="1:18">
      <c r="A87" s="7" t="s">
        <v>277</v>
      </c>
      <c r="B87" s="1" t="s">
        <v>278</v>
      </c>
      <c r="C87" s="1">
        <v>4</v>
      </c>
      <c r="D87" s="1" t="s">
        <v>14</v>
      </c>
      <c r="E87" s="1" t="s">
        <v>15</v>
      </c>
      <c r="F87" s="1">
        <v>4</v>
      </c>
      <c r="G87" s="1" t="s">
        <v>16</v>
      </c>
      <c r="H87" s="1" t="s">
        <v>232</v>
      </c>
      <c r="I87" s="1" t="s">
        <v>15</v>
      </c>
      <c r="J87" s="1" t="s">
        <v>15</v>
      </c>
      <c r="K87" s="1">
        <v>8232.5</v>
      </c>
      <c r="L87" s="2">
        <v>32930</v>
      </c>
      <c r="M87" s="5" t="s">
        <v>454</v>
      </c>
      <c r="N87" s="8" t="s">
        <v>516</v>
      </c>
      <c r="O87" s="8" t="s">
        <v>460</v>
      </c>
      <c r="P87" s="1" t="str">
        <f t="shared" si="1"/>
        <v>13/05/2026</v>
      </c>
      <c r="Q87" s="18">
        <v>46155</v>
      </c>
      <c r="R87" s="19">
        <f ca="1">Table13[[#This Row],[Column1]]-TODAY()</f>
        <v>-94</v>
      </c>
    </row>
    <row r="88" spans="1:18">
      <c r="A88" s="7" t="s">
        <v>283</v>
      </c>
      <c r="B88" s="1" t="s">
        <v>284</v>
      </c>
      <c r="C88" s="1">
        <v>3</v>
      </c>
      <c r="D88" s="1" t="s">
        <v>14</v>
      </c>
      <c r="E88" s="1" t="s">
        <v>15</v>
      </c>
      <c r="F88" s="1">
        <v>3</v>
      </c>
      <c r="G88" s="1" t="s">
        <v>16</v>
      </c>
      <c r="H88" s="1" t="s">
        <v>23</v>
      </c>
      <c r="I88" s="1" t="s">
        <v>15</v>
      </c>
      <c r="J88" s="1" t="s">
        <v>15</v>
      </c>
      <c r="K88" s="1">
        <v>12589</v>
      </c>
      <c r="L88" s="2">
        <v>37767</v>
      </c>
      <c r="M88" s="5" t="s">
        <v>454</v>
      </c>
      <c r="N88" s="8" t="s">
        <v>516</v>
      </c>
      <c r="O88" s="8" t="s">
        <v>460</v>
      </c>
      <c r="P88" s="1" t="str">
        <f t="shared" si="1"/>
        <v>13/05/2026</v>
      </c>
      <c r="Q88" s="18">
        <v>46155</v>
      </c>
      <c r="R88" s="19">
        <f ca="1">Table13[[#This Row],[Column1]]-TODAY()</f>
        <v>-94</v>
      </c>
    </row>
    <row r="89" spans="1:18">
      <c r="A89" s="7" t="s">
        <v>285</v>
      </c>
      <c r="B89" s="1" t="s">
        <v>286</v>
      </c>
      <c r="C89" s="1">
        <v>3</v>
      </c>
      <c r="D89" s="1" t="s">
        <v>14</v>
      </c>
      <c r="E89" s="1" t="s">
        <v>15</v>
      </c>
      <c r="F89" s="1">
        <v>3</v>
      </c>
      <c r="G89" s="1" t="s">
        <v>16</v>
      </c>
      <c r="H89" s="1" t="s">
        <v>287</v>
      </c>
      <c r="I89" s="1" t="s">
        <v>15</v>
      </c>
      <c r="J89" s="1" t="s">
        <v>15</v>
      </c>
      <c r="K89" s="1">
        <v>9882</v>
      </c>
      <c r="L89" s="2">
        <v>29646</v>
      </c>
      <c r="M89" s="5" t="s">
        <v>454</v>
      </c>
      <c r="N89" s="8" t="s">
        <v>516</v>
      </c>
      <c r="O89" s="8" t="s">
        <v>460</v>
      </c>
      <c r="P89" s="1" t="str">
        <f t="shared" si="1"/>
        <v>13/05/2026</v>
      </c>
      <c r="Q89" s="18">
        <v>46155</v>
      </c>
      <c r="R89" s="19">
        <f ca="1">Table13[[#This Row],[Column1]]-TODAY()</f>
        <v>-94</v>
      </c>
    </row>
    <row r="90" spans="1:18">
      <c r="A90" s="7" t="s">
        <v>288</v>
      </c>
      <c r="B90" s="1" t="s">
        <v>289</v>
      </c>
      <c r="C90" s="1">
        <v>3</v>
      </c>
      <c r="D90" s="1" t="s">
        <v>14</v>
      </c>
      <c r="E90" s="1" t="s">
        <v>15</v>
      </c>
      <c r="F90" s="1">
        <v>3</v>
      </c>
      <c r="G90" s="1" t="s">
        <v>16</v>
      </c>
      <c r="H90" s="1" t="s">
        <v>23</v>
      </c>
      <c r="I90" s="1" t="s">
        <v>15</v>
      </c>
      <c r="J90" s="1" t="s">
        <v>15</v>
      </c>
      <c r="K90" s="1">
        <v>9575</v>
      </c>
      <c r="L90" s="2">
        <v>28725</v>
      </c>
      <c r="M90" s="5" t="s">
        <v>454</v>
      </c>
      <c r="N90" s="8" t="s">
        <v>516</v>
      </c>
      <c r="O90" s="8" t="s">
        <v>460</v>
      </c>
      <c r="P90" s="1" t="str">
        <f t="shared" si="1"/>
        <v>13/05/2026</v>
      </c>
      <c r="Q90" s="18">
        <v>46155</v>
      </c>
      <c r="R90" s="19">
        <f ca="1">Table13[[#This Row],[Column1]]-TODAY()</f>
        <v>-94</v>
      </c>
    </row>
    <row r="91" spans="1:18">
      <c r="A91" s="7" t="s">
        <v>290</v>
      </c>
      <c r="B91" s="1" t="s">
        <v>284</v>
      </c>
      <c r="C91" s="1">
        <v>9</v>
      </c>
      <c r="D91" s="1" t="s">
        <v>14</v>
      </c>
      <c r="E91" s="1" t="s">
        <v>15</v>
      </c>
      <c r="F91" s="1">
        <v>9</v>
      </c>
      <c r="G91" s="1" t="s">
        <v>16</v>
      </c>
      <c r="H91" s="1" t="s">
        <v>23</v>
      </c>
      <c r="I91" s="1" t="s">
        <v>15</v>
      </c>
      <c r="J91" s="1" t="s">
        <v>15</v>
      </c>
      <c r="K91" s="1">
        <v>10937.33333333</v>
      </c>
      <c r="L91" s="2">
        <v>98436</v>
      </c>
      <c r="M91" s="5" t="s">
        <v>454</v>
      </c>
      <c r="N91" s="8" t="s">
        <v>516</v>
      </c>
      <c r="O91" s="8" t="s">
        <v>460</v>
      </c>
      <c r="P91" s="1" t="str">
        <f t="shared" si="1"/>
        <v>13/05/2026</v>
      </c>
      <c r="Q91" s="18">
        <v>46155</v>
      </c>
      <c r="R91" s="19">
        <f ca="1">Table13[[#This Row],[Column1]]-TODAY()</f>
        <v>-94</v>
      </c>
    </row>
    <row r="92" spans="1:18">
      <c r="A92" s="7" t="s">
        <v>291</v>
      </c>
      <c r="B92" s="1" t="s">
        <v>292</v>
      </c>
      <c r="C92" s="1">
        <v>5</v>
      </c>
      <c r="D92" s="1" t="s">
        <v>14</v>
      </c>
      <c r="E92" s="1" t="s">
        <v>15</v>
      </c>
      <c r="F92" s="1">
        <v>5</v>
      </c>
      <c r="G92" s="1" t="s">
        <v>16</v>
      </c>
      <c r="H92" s="1" t="s">
        <v>20</v>
      </c>
      <c r="I92" s="1" t="s">
        <v>15</v>
      </c>
      <c r="J92" s="1" t="s">
        <v>15</v>
      </c>
      <c r="K92" s="1">
        <v>15504</v>
      </c>
      <c r="L92" s="2">
        <v>77520</v>
      </c>
      <c r="M92" s="5" t="s">
        <v>454</v>
      </c>
      <c r="N92" s="8" t="s">
        <v>516</v>
      </c>
      <c r="O92" s="8" t="s">
        <v>460</v>
      </c>
      <c r="P92" s="1" t="str">
        <f t="shared" si="1"/>
        <v>13/05/2026</v>
      </c>
      <c r="Q92" s="18">
        <v>46155</v>
      </c>
      <c r="R92" s="19">
        <f ca="1">Table13[[#This Row],[Column1]]-TODAY()</f>
        <v>-94</v>
      </c>
    </row>
    <row r="93" spans="1:18">
      <c r="A93" s="7" t="s">
        <v>293</v>
      </c>
      <c r="B93" s="1" t="s">
        <v>294</v>
      </c>
      <c r="C93" s="1">
        <v>7</v>
      </c>
      <c r="D93" s="1" t="s">
        <v>14</v>
      </c>
      <c r="E93" s="1" t="s">
        <v>15</v>
      </c>
      <c r="F93" s="1">
        <v>7</v>
      </c>
      <c r="G93" s="1" t="s">
        <v>16</v>
      </c>
      <c r="H93" s="1" t="s">
        <v>17</v>
      </c>
      <c r="I93" s="1" t="s">
        <v>15</v>
      </c>
      <c r="J93" s="1" t="s">
        <v>15</v>
      </c>
      <c r="K93" s="1">
        <v>13104.142857139999</v>
      </c>
      <c r="L93" s="2">
        <v>91729</v>
      </c>
      <c r="M93" s="5" t="s">
        <v>454</v>
      </c>
      <c r="N93" s="8" t="s">
        <v>516</v>
      </c>
      <c r="O93" s="8" t="s">
        <v>460</v>
      </c>
      <c r="P93" s="1" t="str">
        <f t="shared" si="1"/>
        <v>13/05/2026</v>
      </c>
      <c r="Q93" s="18">
        <v>46155</v>
      </c>
      <c r="R93" s="19">
        <f ca="1">Table13[[#This Row],[Column1]]-TODAY()</f>
        <v>-94</v>
      </c>
    </row>
    <row r="94" spans="1:18">
      <c r="A94" s="7" t="s">
        <v>295</v>
      </c>
      <c r="B94" s="1" t="s">
        <v>296</v>
      </c>
      <c r="C94" s="1">
        <v>22</v>
      </c>
      <c r="D94" s="1" t="s">
        <v>14</v>
      </c>
      <c r="E94" s="1" t="s">
        <v>15</v>
      </c>
      <c r="F94" s="1">
        <v>22</v>
      </c>
      <c r="G94" s="1" t="s">
        <v>16</v>
      </c>
      <c r="H94" s="1" t="s">
        <v>20</v>
      </c>
      <c r="I94" s="1" t="s">
        <v>15</v>
      </c>
      <c r="J94" s="1" t="s">
        <v>15</v>
      </c>
      <c r="K94" s="1">
        <v>40957.909090909998</v>
      </c>
      <c r="L94" s="2">
        <v>901074</v>
      </c>
      <c r="M94" s="5" t="s">
        <v>454</v>
      </c>
      <c r="N94" s="8" t="s">
        <v>516</v>
      </c>
      <c r="O94" s="8" t="s">
        <v>460</v>
      </c>
      <c r="P94" s="1" t="str">
        <f t="shared" si="1"/>
        <v>13/05/2026</v>
      </c>
      <c r="Q94" s="18">
        <v>46155</v>
      </c>
      <c r="R94" s="19">
        <f ca="1">Table13[[#This Row],[Column1]]-TODAY()</f>
        <v>-94</v>
      </c>
    </row>
    <row r="95" spans="1:18">
      <c r="A95" s="7" t="s">
        <v>299</v>
      </c>
      <c r="B95" s="1" t="s">
        <v>300</v>
      </c>
      <c r="C95" s="1">
        <v>8</v>
      </c>
      <c r="D95" s="1" t="s">
        <v>14</v>
      </c>
      <c r="E95" s="1" t="s">
        <v>15</v>
      </c>
      <c r="F95" s="1">
        <v>8</v>
      </c>
      <c r="G95" s="1" t="s">
        <v>16</v>
      </c>
      <c r="H95" s="1" t="s">
        <v>17</v>
      </c>
      <c r="I95" s="1" t="s">
        <v>15</v>
      </c>
      <c r="J95" s="1" t="s">
        <v>15</v>
      </c>
      <c r="K95" s="1">
        <v>20497.75</v>
      </c>
      <c r="L95" s="2">
        <v>163982</v>
      </c>
      <c r="M95" s="5" t="s">
        <v>454</v>
      </c>
      <c r="N95" s="8" t="s">
        <v>516</v>
      </c>
      <c r="O95" s="8" t="s">
        <v>460</v>
      </c>
      <c r="P95" s="1" t="str">
        <f t="shared" si="1"/>
        <v>13/05/2026</v>
      </c>
      <c r="Q95" s="18">
        <v>46155</v>
      </c>
      <c r="R95" s="19">
        <f ca="1">Table13[[#This Row],[Column1]]-TODAY()</f>
        <v>-94</v>
      </c>
    </row>
    <row r="96" spans="1:18">
      <c r="A96" s="7" t="s">
        <v>301</v>
      </c>
      <c r="B96" s="1" t="s">
        <v>302</v>
      </c>
      <c r="C96" s="1">
        <v>3</v>
      </c>
      <c r="D96" s="1" t="s">
        <v>14</v>
      </c>
      <c r="E96" s="1" t="s">
        <v>15</v>
      </c>
      <c r="F96" s="1">
        <v>3</v>
      </c>
      <c r="G96" s="1" t="s">
        <v>16</v>
      </c>
      <c r="H96" s="1" t="s">
        <v>62</v>
      </c>
      <c r="I96" s="1" t="s">
        <v>15</v>
      </c>
      <c r="J96" s="1" t="s">
        <v>15</v>
      </c>
      <c r="K96" s="1">
        <v>12771.66666667</v>
      </c>
      <c r="L96" s="2">
        <v>38315</v>
      </c>
      <c r="M96" s="5" t="s">
        <v>454</v>
      </c>
      <c r="N96" s="8" t="s">
        <v>516</v>
      </c>
      <c r="O96" s="8" t="s">
        <v>460</v>
      </c>
      <c r="P96" s="1" t="str">
        <f t="shared" si="1"/>
        <v>13/05/2026</v>
      </c>
      <c r="Q96" s="18">
        <v>46155</v>
      </c>
      <c r="R96" s="19">
        <f ca="1">Table13[[#This Row],[Column1]]-TODAY()</f>
        <v>-94</v>
      </c>
    </row>
    <row r="97" spans="1:18">
      <c r="A97" s="7" t="s">
        <v>303</v>
      </c>
      <c r="B97" s="1" t="s">
        <v>302</v>
      </c>
      <c r="C97" s="1">
        <v>7</v>
      </c>
      <c r="D97" s="1" t="s">
        <v>14</v>
      </c>
      <c r="E97" s="1" t="s">
        <v>15</v>
      </c>
      <c r="F97" s="1">
        <v>7</v>
      </c>
      <c r="G97" s="1" t="s">
        <v>16</v>
      </c>
      <c r="H97" s="1" t="s">
        <v>62</v>
      </c>
      <c r="I97" s="1" t="s">
        <v>15</v>
      </c>
      <c r="J97" s="1" t="s">
        <v>15</v>
      </c>
      <c r="K97" s="1">
        <v>16170.714285710001</v>
      </c>
      <c r="L97" s="2">
        <v>113195</v>
      </c>
      <c r="M97" s="5" t="s">
        <v>454</v>
      </c>
      <c r="N97" s="8" t="s">
        <v>516</v>
      </c>
      <c r="O97" s="8" t="s">
        <v>460</v>
      </c>
      <c r="P97" s="1" t="str">
        <f t="shared" si="1"/>
        <v>13/05/2026</v>
      </c>
      <c r="Q97" s="18">
        <v>46155</v>
      </c>
      <c r="R97" s="19">
        <f ca="1">Table13[[#This Row],[Column1]]-TODAY()</f>
        <v>-94</v>
      </c>
    </row>
    <row r="98" spans="1:18">
      <c r="A98" s="7" t="s">
        <v>304</v>
      </c>
      <c r="B98" s="1" t="s">
        <v>305</v>
      </c>
      <c r="C98" s="1">
        <v>10</v>
      </c>
      <c r="D98" s="1" t="s">
        <v>14</v>
      </c>
      <c r="E98" s="1" t="s">
        <v>15</v>
      </c>
      <c r="F98" s="1">
        <v>10</v>
      </c>
      <c r="G98" s="1" t="s">
        <v>183</v>
      </c>
      <c r="H98" s="1" t="s">
        <v>184</v>
      </c>
      <c r="I98" s="1" t="s">
        <v>15</v>
      </c>
      <c r="J98" s="1" t="s">
        <v>15</v>
      </c>
      <c r="K98" s="1">
        <v>8278.7999999999993</v>
      </c>
      <c r="L98" s="2">
        <v>82788</v>
      </c>
      <c r="M98" s="5" t="s">
        <v>454</v>
      </c>
      <c r="N98" s="8" t="s">
        <v>516</v>
      </c>
      <c r="O98" s="8" t="s">
        <v>460</v>
      </c>
      <c r="P98" s="1" t="str">
        <f t="shared" si="1"/>
        <v>13/05/2026</v>
      </c>
      <c r="Q98" s="18">
        <v>46155</v>
      </c>
      <c r="R98" s="19">
        <f ca="1">Table13[[#This Row],[Column1]]-TODAY()</f>
        <v>-94</v>
      </c>
    </row>
    <row r="99" spans="1:18">
      <c r="A99" s="7" t="s">
        <v>306</v>
      </c>
      <c r="B99" s="1" t="s">
        <v>302</v>
      </c>
      <c r="C99" s="1">
        <v>7</v>
      </c>
      <c r="D99" s="1" t="s">
        <v>14</v>
      </c>
      <c r="E99" s="1" t="s">
        <v>15</v>
      </c>
      <c r="F99" s="1">
        <v>7</v>
      </c>
      <c r="G99" s="1" t="s">
        <v>16</v>
      </c>
      <c r="H99" s="1" t="s">
        <v>62</v>
      </c>
      <c r="I99" s="1" t="s">
        <v>15</v>
      </c>
      <c r="J99" s="1" t="s">
        <v>15</v>
      </c>
      <c r="K99" s="1">
        <v>15504</v>
      </c>
      <c r="L99" s="2">
        <v>108528</v>
      </c>
      <c r="M99" s="5" t="s">
        <v>454</v>
      </c>
      <c r="N99" s="8" t="s">
        <v>516</v>
      </c>
      <c r="O99" s="8" t="s">
        <v>460</v>
      </c>
      <c r="P99" s="1" t="str">
        <f t="shared" si="1"/>
        <v>13/05/2026</v>
      </c>
      <c r="Q99" s="18">
        <v>46155</v>
      </c>
      <c r="R99" s="19">
        <f ca="1">Table13[[#This Row],[Column1]]-TODAY()</f>
        <v>-94</v>
      </c>
    </row>
    <row r="100" spans="1:18">
      <c r="A100" s="7" t="s">
        <v>307</v>
      </c>
      <c r="B100" s="1" t="s">
        <v>46</v>
      </c>
      <c r="C100" s="1">
        <v>9</v>
      </c>
      <c r="D100" s="1" t="s">
        <v>14</v>
      </c>
      <c r="E100" s="1" t="s">
        <v>15</v>
      </c>
      <c r="F100" s="1">
        <v>9</v>
      </c>
      <c r="G100" s="1" t="s">
        <v>16</v>
      </c>
      <c r="H100" s="1" t="s">
        <v>26</v>
      </c>
      <c r="I100" s="1" t="s">
        <v>15</v>
      </c>
      <c r="J100" s="1" t="s">
        <v>15</v>
      </c>
      <c r="K100" s="1">
        <v>10172.11111111</v>
      </c>
      <c r="L100" s="2">
        <v>91549</v>
      </c>
      <c r="M100" s="5" t="s">
        <v>454</v>
      </c>
      <c r="N100" s="8" t="s">
        <v>516</v>
      </c>
      <c r="O100" s="8" t="s">
        <v>460</v>
      </c>
      <c r="P100" s="1" t="str">
        <f t="shared" si="1"/>
        <v>13/05/2026</v>
      </c>
      <c r="Q100" s="18">
        <v>46155</v>
      </c>
      <c r="R100" s="19">
        <f ca="1">Table13[[#This Row],[Column1]]-TODAY()</f>
        <v>-94</v>
      </c>
    </row>
    <row r="101" spans="1:18">
      <c r="A101" s="7" t="s">
        <v>308</v>
      </c>
      <c r="B101" s="1" t="s">
        <v>309</v>
      </c>
      <c r="C101" s="1">
        <v>7</v>
      </c>
      <c r="D101" s="1" t="s">
        <v>14</v>
      </c>
      <c r="E101" s="1" t="s">
        <v>15</v>
      </c>
      <c r="F101" s="1">
        <v>7</v>
      </c>
      <c r="G101" s="1" t="s">
        <v>16</v>
      </c>
      <c r="H101" s="1" t="s">
        <v>23</v>
      </c>
      <c r="I101" s="1" t="s">
        <v>15</v>
      </c>
      <c r="J101" s="1" t="s">
        <v>15</v>
      </c>
      <c r="K101" s="1">
        <v>12328.42857143</v>
      </c>
      <c r="L101" s="2">
        <v>86299</v>
      </c>
      <c r="M101" s="5" t="s">
        <v>454</v>
      </c>
      <c r="N101" s="8" t="s">
        <v>516</v>
      </c>
      <c r="O101" s="8" t="s">
        <v>460</v>
      </c>
      <c r="P101" s="1" t="str">
        <f t="shared" si="1"/>
        <v>13/05/2026</v>
      </c>
      <c r="Q101" s="18">
        <v>46155</v>
      </c>
      <c r="R101" s="19">
        <f ca="1">Table13[[#This Row],[Column1]]-TODAY()</f>
        <v>-94</v>
      </c>
    </row>
    <row r="102" spans="1:18">
      <c r="A102" s="7" t="s">
        <v>310</v>
      </c>
      <c r="B102" s="1" t="s">
        <v>311</v>
      </c>
      <c r="C102" s="1">
        <v>8</v>
      </c>
      <c r="D102" s="1" t="s">
        <v>14</v>
      </c>
      <c r="E102" s="1" t="s">
        <v>15</v>
      </c>
      <c r="F102" s="1">
        <v>8</v>
      </c>
      <c r="G102" s="1" t="s">
        <v>16</v>
      </c>
      <c r="H102" s="1" t="s">
        <v>312</v>
      </c>
      <c r="I102" s="1" t="s">
        <v>15</v>
      </c>
      <c r="J102" s="1" t="s">
        <v>15</v>
      </c>
      <c r="K102" s="1">
        <v>22655.25</v>
      </c>
      <c r="L102" s="2">
        <v>181242</v>
      </c>
      <c r="M102" s="5" t="s">
        <v>454</v>
      </c>
      <c r="N102" s="8" t="s">
        <v>516</v>
      </c>
      <c r="O102" s="8" t="s">
        <v>460</v>
      </c>
      <c r="P102" s="1" t="str">
        <f t="shared" si="1"/>
        <v>13/05/2026</v>
      </c>
      <c r="Q102" s="18">
        <v>46155</v>
      </c>
      <c r="R102" s="19">
        <f ca="1">Table13[[#This Row],[Column1]]-TODAY()</f>
        <v>-94</v>
      </c>
    </row>
    <row r="103" spans="1:18">
      <c r="A103" s="7" t="s">
        <v>313</v>
      </c>
      <c r="B103" s="1" t="s">
        <v>314</v>
      </c>
      <c r="C103" s="1">
        <v>5</v>
      </c>
      <c r="D103" s="1" t="s">
        <v>14</v>
      </c>
      <c r="E103" s="1" t="s">
        <v>15</v>
      </c>
      <c r="F103" s="1">
        <v>5</v>
      </c>
      <c r="G103" s="1" t="s">
        <v>16</v>
      </c>
      <c r="H103" s="1" t="s">
        <v>62</v>
      </c>
      <c r="I103" s="1" t="s">
        <v>15</v>
      </c>
      <c r="J103" s="1" t="s">
        <v>15</v>
      </c>
      <c r="K103" s="1">
        <v>15677</v>
      </c>
      <c r="L103" s="2">
        <v>78385</v>
      </c>
      <c r="M103" s="5" t="s">
        <v>454</v>
      </c>
      <c r="N103" s="8" t="s">
        <v>516</v>
      </c>
      <c r="O103" s="8" t="s">
        <v>460</v>
      </c>
      <c r="P103" s="1" t="str">
        <f t="shared" si="1"/>
        <v>13/05/2026</v>
      </c>
      <c r="Q103" s="18">
        <v>46155</v>
      </c>
      <c r="R103" s="19">
        <f ca="1">Table13[[#This Row],[Column1]]-TODAY()</f>
        <v>-94</v>
      </c>
    </row>
    <row r="104" spans="1:18">
      <c r="A104" s="7" t="s">
        <v>315</v>
      </c>
      <c r="B104" s="1" t="s">
        <v>309</v>
      </c>
      <c r="C104" s="1">
        <v>4</v>
      </c>
      <c r="D104" s="1" t="s">
        <v>14</v>
      </c>
      <c r="E104" s="1" t="s">
        <v>15</v>
      </c>
      <c r="F104" s="1">
        <v>4</v>
      </c>
      <c r="G104" s="1" t="s">
        <v>16</v>
      </c>
      <c r="H104" s="1" t="s">
        <v>23</v>
      </c>
      <c r="I104" s="1" t="s">
        <v>15</v>
      </c>
      <c r="J104" s="1" t="s">
        <v>15</v>
      </c>
      <c r="K104" s="1">
        <v>19401</v>
      </c>
      <c r="L104" s="2">
        <v>77604</v>
      </c>
      <c r="M104" s="5" t="s">
        <v>454</v>
      </c>
      <c r="N104" s="8" t="s">
        <v>516</v>
      </c>
      <c r="O104" s="8" t="s">
        <v>460</v>
      </c>
      <c r="P104" s="1" t="str">
        <f t="shared" si="1"/>
        <v>13/05/2026</v>
      </c>
      <c r="Q104" s="18">
        <v>46155</v>
      </c>
      <c r="R104" s="19">
        <f ca="1">Table13[[#This Row],[Column1]]-TODAY()</f>
        <v>-94</v>
      </c>
    </row>
    <row r="105" spans="1:18">
      <c r="A105" s="7" t="s">
        <v>316</v>
      </c>
      <c r="B105" s="1" t="s">
        <v>317</v>
      </c>
      <c r="C105" s="1">
        <v>10</v>
      </c>
      <c r="D105" s="1" t="s">
        <v>14</v>
      </c>
      <c r="E105" s="1" t="s">
        <v>15</v>
      </c>
      <c r="F105" s="1">
        <v>10</v>
      </c>
      <c r="G105" s="1" t="s">
        <v>16</v>
      </c>
      <c r="H105" s="1" t="s">
        <v>312</v>
      </c>
      <c r="I105" s="1" t="s">
        <v>15</v>
      </c>
      <c r="J105" s="1" t="s">
        <v>15</v>
      </c>
      <c r="K105" s="1">
        <v>10674.1</v>
      </c>
      <c r="L105" s="2">
        <v>106741</v>
      </c>
      <c r="M105" s="5" t="s">
        <v>454</v>
      </c>
      <c r="N105" s="8" t="s">
        <v>516</v>
      </c>
      <c r="O105" s="8" t="s">
        <v>460</v>
      </c>
      <c r="P105" s="1" t="str">
        <f t="shared" si="1"/>
        <v>13/05/2026</v>
      </c>
      <c r="Q105" s="18">
        <v>46155</v>
      </c>
      <c r="R105" s="19">
        <f ca="1">Table13[[#This Row],[Column1]]-TODAY()</f>
        <v>-94</v>
      </c>
    </row>
    <row r="106" spans="1:18">
      <c r="A106" s="7" t="s">
        <v>318</v>
      </c>
      <c r="B106" s="1" t="s">
        <v>302</v>
      </c>
      <c r="C106" s="1">
        <v>6</v>
      </c>
      <c r="D106" s="1" t="s">
        <v>14</v>
      </c>
      <c r="E106" s="1" t="s">
        <v>15</v>
      </c>
      <c r="F106" s="1">
        <v>6</v>
      </c>
      <c r="G106" s="1" t="s">
        <v>16</v>
      </c>
      <c r="H106" s="1" t="s">
        <v>62</v>
      </c>
      <c r="I106" s="1" t="s">
        <v>15</v>
      </c>
      <c r="J106" s="1" t="s">
        <v>15</v>
      </c>
      <c r="K106" s="1">
        <v>20005.16666667</v>
      </c>
      <c r="L106" s="2">
        <v>120031</v>
      </c>
      <c r="M106" s="5" t="s">
        <v>454</v>
      </c>
      <c r="N106" s="8" t="s">
        <v>516</v>
      </c>
      <c r="O106" s="8" t="s">
        <v>460</v>
      </c>
      <c r="P106" s="1" t="str">
        <f t="shared" si="1"/>
        <v>13/05/2026</v>
      </c>
      <c r="Q106" s="18">
        <v>46155</v>
      </c>
      <c r="R106" s="19">
        <f ca="1">Table13[[#This Row],[Column1]]-TODAY()</f>
        <v>-94</v>
      </c>
    </row>
    <row r="107" spans="1:18">
      <c r="A107" s="7" t="s">
        <v>319</v>
      </c>
      <c r="B107" s="1" t="s">
        <v>314</v>
      </c>
      <c r="C107" s="1">
        <v>3</v>
      </c>
      <c r="D107" s="1" t="s">
        <v>14</v>
      </c>
      <c r="E107" s="1" t="s">
        <v>15</v>
      </c>
      <c r="F107" s="1">
        <v>3</v>
      </c>
      <c r="G107" s="1" t="s">
        <v>16</v>
      </c>
      <c r="H107" s="1" t="s">
        <v>62</v>
      </c>
      <c r="I107" s="1" t="s">
        <v>15</v>
      </c>
      <c r="J107" s="1" t="s">
        <v>15</v>
      </c>
      <c r="K107" s="1">
        <v>12475.66666667</v>
      </c>
      <c r="L107" s="2">
        <v>37427</v>
      </c>
      <c r="M107" s="5" t="s">
        <v>454</v>
      </c>
      <c r="N107" s="8" t="s">
        <v>516</v>
      </c>
      <c r="O107" s="8" t="s">
        <v>460</v>
      </c>
      <c r="P107" s="1" t="str">
        <f t="shared" si="1"/>
        <v>13/05/2026</v>
      </c>
      <c r="Q107" s="18">
        <v>46155</v>
      </c>
      <c r="R107" s="19">
        <f ca="1">Table13[[#This Row],[Column1]]-TODAY()</f>
        <v>-94</v>
      </c>
    </row>
    <row r="108" spans="1:18">
      <c r="A108" s="7" t="s">
        <v>320</v>
      </c>
      <c r="B108" s="1" t="s">
        <v>321</v>
      </c>
      <c r="C108" s="1">
        <v>8</v>
      </c>
      <c r="D108" s="1" t="s">
        <v>14</v>
      </c>
      <c r="E108" s="1" t="s">
        <v>15</v>
      </c>
      <c r="F108" s="1">
        <v>8</v>
      </c>
      <c r="G108" s="1" t="s">
        <v>16</v>
      </c>
      <c r="H108" s="1" t="s">
        <v>287</v>
      </c>
      <c r="I108" s="1" t="s">
        <v>15</v>
      </c>
      <c r="J108" s="1" t="s">
        <v>15</v>
      </c>
      <c r="K108" s="1">
        <v>50800.125</v>
      </c>
      <c r="L108" s="2">
        <v>406401</v>
      </c>
      <c r="M108" s="5" t="s">
        <v>454</v>
      </c>
      <c r="N108" s="8" t="s">
        <v>516</v>
      </c>
      <c r="O108" s="8" t="s">
        <v>460</v>
      </c>
      <c r="P108" s="1" t="str">
        <f t="shared" si="1"/>
        <v>13/05/2026</v>
      </c>
      <c r="Q108" s="18">
        <v>46155</v>
      </c>
      <c r="R108" s="19">
        <f ca="1">Table13[[#This Row],[Column1]]-TODAY()</f>
        <v>-94</v>
      </c>
    </row>
    <row r="109" spans="1:18">
      <c r="A109" s="7" t="s">
        <v>322</v>
      </c>
      <c r="B109" s="1" t="s">
        <v>323</v>
      </c>
      <c r="C109" s="1">
        <v>6</v>
      </c>
      <c r="D109" s="1" t="s">
        <v>14</v>
      </c>
      <c r="E109" s="1" t="s">
        <v>15</v>
      </c>
      <c r="F109" s="1">
        <v>6</v>
      </c>
      <c r="G109" s="1" t="s">
        <v>16</v>
      </c>
      <c r="H109" s="1" t="s">
        <v>62</v>
      </c>
      <c r="I109" s="1" t="s">
        <v>15</v>
      </c>
      <c r="J109" s="1" t="s">
        <v>15</v>
      </c>
      <c r="K109" s="1">
        <v>10750.33333333</v>
      </c>
      <c r="L109" s="2">
        <v>64502</v>
      </c>
      <c r="M109" s="5" t="s">
        <v>454</v>
      </c>
      <c r="N109" s="8" t="s">
        <v>516</v>
      </c>
      <c r="O109" s="8" t="s">
        <v>460</v>
      </c>
      <c r="P109" s="1" t="str">
        <f t="shared" si="1"/>
        <v>13/05/2026</v>
      </c>
      <c r="Q109" s="18">
        <v>46155</v>
      </c>
      <c r="R109" s="19">
        <f ca="1">Table13[[#This Row],[Column1]]-TODAY()</f>
        <v>-94</v>
      </c>
    </row>
    <row r="110" spans="1:18">
      <c r="A110" s="7" t="s">
        <v>324</v>
      </c>
      <c r="B110" s="1" t="s">
        <v>300</v>
      </c>
      <c r="C110" s="1">
        <v>9</v>
      </c>
      <c r="D110" s="1" t="s">
        <v>14</v>
      </c>
      <c r="E110" s="1" t="s">
        <v>15</v>
      </c>
      <c r="F110" s="1">
        <v>9</v>
      </c>
      <c r="G110" s="1" t="s">
        <v>16</v>
      </c>
      <c r="H110" s="1" t="s">
        <v>17</v>
      </c>
      <c r="I110" s="1" t="s">
        <v>15</v>
      </c>
      <c r="J110" s="1" t="s">
        <v>15</v>
      </c>
      <c r="K110" s="1">
        <v>8109.3333333299997</v>
      </c>
      <c r="L110" s="2">
        <v>72984</v>
      </c>
      <c r="M110" s="5" t="s">
        <v>454</v>
      </c>
      <c r="N110" s="8" t="s">
        <v>516</v>
      </c>
      <c r="O110" s="8" t="s">
        <v>460</v>
      </c>
      <c r="P110" s="1" t="str">
        <f t="shared" si="1"/>
        <v>13/05/2026</v>
      </c>
      <c r="Q110" s="18">
        <v>46155</v>
      </c>
      <c r="R110" s="19">
        <f ca="1">Table13[[#This Row],[Column1]]-TODAY()</f>
        <v>-94</v>
      </c>
    </row>
    <row r="111" spans="1:18">
      <c r="A111" s="7" t="s">
        <v>325</v>
      </c>
      <c r="B111" s="1" t="s">
        <v>323</v>
      </c>
      <c r="C111" s="1">
        <v>5</v>
      </c>
      <c r="D111" s="1" t="s">
        <v>14</v>
      </c>
      <c r="E111" s="1" t="s">
        <v>15</v>
      </c>
      <c r="F111" s="1">
        <v>5</v>
      </c>
      <c r="G111" s="1" t="s">
        <v>16</v>
      </c>
      <c r="H111" s="1" t="s">
        <v>62</v>
      </c>
      <c r="I111" s="1" t="s">
        <v>15</v>
      </c>
      <c r="J111" s="1" t="s">
        <v>15</v>
      </c>
      <c r="K111" s="1">
        <v>10836.2</v>
      </c>
      <c r="L111" s="2">
        <v>54181</v>
      </c>
      <c r="M111" s="5" t="s">
        <v>454</v>
      </c>
      <c r="N111" s="8" t="s">
        <v>516</v>
      </c>
      <c r="O111" s="8" t="s">
        <v>460</v>
      </c>
      <c r="P111" s="1" t="str">
        <f t="shared" si="1"/>
        <v>13/05/2026</v>
      </c>
      <c r="Q111" s="18">
        <v>46155</v>
      </c>
      <c r="R111" s="19">
        <f ca="1">Table13[[#This Row],[Column1]]-TODAY()</f>
        <v>-94</v>
      </c>
    </row>
    <row r="112" spans="1:18">
      <c r="A112" s="7" t="s">
        <v>326</v>
      </c>
      <c r="B112" s="1" t="s">
        <v>302</v>
      </c>
      <c r="C112" s="1">
        <v>4</v>
      </c>
      <c r="D112" s="1" t="s">
        <v>14</v>
      </c>
      <c r="E112" s="1" t="s">
        <v>15</v>
      </c>
      <c r="F112" s="1">
        <v>4</v>
      </c>
      <c r="G112" s="1" t="s">
        <v>16</v>
      </c>
      <c r="H112" s="1" t="s">
        <v>62</v>
      </c>
      <c r="I112" s="1" t="s">
        <v>15</v>
      </c>
      <c r="J112" s="1" t="s">
        <v>15</v>
      </c>
      <c r="K112" s="1">
        <v>11362.5</v>
      </c>
      <c r="L112" s="2">
        <v>45450</v>
      </c>
      <c r="M112" s="5" t="s">
        <v>454</v>
      </c>
      <c r="N112" s="8" t="s">
        <v>516</v>
      </c>
      <c r="O112" s="8" t="s">
        <v>460</v>
      </c>
      <c r="P112" s="1" t="str">
        <f t="shared" si="1"/>
        <v>13/05/2026</v>
      </c>
      <c r="Q112" s="18">
        <v>46155</v>
      </c>
      <c r="R112" s="19">
        <f ca="1">Table13[[#This Row],[Column1]]-TODAY()</f>
        <v>-94</v>
      </c>
    </row>
    <row r="113" spans="1:18">
      <c r="A113" s="7" t="s">
        <v>327</v>
      </c>
      <c r="B113" s="1" t="s">
        <v>300</v>
      </c>
      <c r="C113" s="1">
        <v>5</v>
      </c>
      <c r="D113" s="1" t="s">
        <v>14</v>
      </c>
      <c r="E113" s="1" t="s">
        <v>15</v>
      </c>
      <c r="F113" s="1">
        <v>5</v>
      </c>
      <c r="G113" s="1" t="s">
        <v>16</v>
      </c>
      <c r="H113" s="1" t="s">
        <v>17</v>
      </c>
      <c r="I113" s="1" t="s">
        <v>15</v>
      </c>
      <c r="J113" s="1" t="s">
        <v>15</v>
      </c>
      <c r="K113" s="1">
        <v>14760.2</v>
      </c>
      <c r="L113" s="2">
        <v>73801</v>
      </c>
      <c r="M113" s="5" t="s">
        <v>454</v>
      </c>
      <c r="N113" s="8" t="s">
        <v>516</v>
      </c>
      <c r="O113" s="8" t="s">
        <v>460</v>
      </c>
      <c r="P113" s="1" t="str">
        <f t="shared" si="1"/>
        <v>13/05/2026</v>
      </c>
      <c r="Q113" s="18">
        <v>46155</v>
      </c>
      <c r="R113" s="19">
        <f ca="1">Table13[[#This Row],[Column1]]-TODAY()</f>
        <v>-94</v>
      </c>
    </row>
    <row r="114" spans="1:18">
      <c r="A114" s="7" t="s">
        <v>328</v>
      </c>
      <c r="B114" s="1" t="s">
        <v>294</v>
      </c>
      <c r="C114" s="1">
        <v>6</v>
      </c>
      <c r="D114" s="1" t="s">
        <v>14</v>
      </c>
      <c r="E114" s="1" t="s">
        <v>15</v>
      </c>
      <c r="F114" s="1">
        <v>6</v>
      </c>
      <c r="G114" s="1" t="s">
        <v>16</v>
      </c>
      <c r="H114" s="1" t="s">
        <v>17</v>
      </c>
      <c r="I114" s="1" t="s">
        <v>15</v>
      </c>
      <c r="J114" s="1" t="s">
        <v>15</v>
      </c>
      <c r="K114" s="1">
        <v>10588.83333333</v>
      </c>
      <c r="L114" s="2">
        <v>63533</v>
      </c>
      <c r="M114" s="5" t="s">
        <v>454</v>
      </c>
      <c r="N114" s="8" t="s">
        <v>516</v>
      </c>
      <c r="O114" s="8" t="s">
        <v>460</v>
      </c>
      <c r="P114" s="1" t="str">
        <f t="shared" si="1"/>
        <v>13/05/2026</v>
      </c>
      <c r="Q114" s="18">
        <v>46155</v>
      </c>
      <c r="R114" s="19">
        <f ca="1">Table13[[#This Row],[Column1]]-TODAY()</f>
        <v>-94</v>
      </c>
    </row>
    <row r="115" spans="1:18">
      <c r="A115" s="7" t="s">
        <v>329</v>
      </c>
      <c r="B115" s="1" t="s">
        <v>300</v>
      </c>
      <c r="C115" s="1">
        <v>6</v>
      </c>
      <c r="D115" s="1" t="s">
        <v>14</v>
      </c>
      <c r="E115" s="1" t="s">
        <v>15</v>
      </c>
      <c r="F115" s="1">
        <v>6</v>
      </c>
      <c r="G115" s="1" t="s">
        <v>16</v>
      </c>
      <c r="H115" s="1" t="s">
        <v>17</v>
      </c>
      <c r="I115" s="1" t="s">
        <v>15</v>
      </c>
      <c r="J115" s="1" t="s">
        <v>15</v>
      </c>
      <c r="K115" s="1">
        <v>12462.66666667</v>
      </c>
      <c r="L115" s="2">
        <v>74776</v>
      </c>
      <c r="M115" s="5" t="s">
        <v>454</v>
      </c>
      <c r="N115" s="8" t="s">
        <v>516</v>
      </c>
      <c r="O115" s="8" t="s">
        <v>460</v>
      </c>
      <c r="P115" s="1" t="str">
        <f t="shared" si="1"/>
        <v>13/05/2026</v>
      </c>
      <c r="Q115" s="18">
        <v>46155</v>
      </c>
      <c r="R115" s="19">
        <f ca="1">Table13[[#This Row],[Column1]]-TODAY()</f>
        <v>-94</v>
      </c>
    </row>
    <row r="116" spans="1:18">
      <c r="A116" s="7" t="s">
        <v>330</v>
      </c>
      <c r="B116" s="1" t="s">
        <v>331</v>
      </c>
      <c r="C116" s="1">
        <v>7</v>
      </c>
      <c r="D116" s="1" t="s">
        <v>14</v>
      </c>
      <c r="E116" s="1" t="s">
        <v>15</v>
      </c>
      <c r="F116" s="1">
        <v>7</v>
      </c>
      <c r="G116" s="1" t="s">
        <v>16</v>
      </c>
      <c r="H116" s="1" t="s">
        <v>312</v>
      </c>
      <c r="I116" s="1" t="s">
        <v>15</v>
      </c>
      <c r="J116" s="1" t="s">
        <v>15</v>
      </c>
      <c r="K116" s="1">
        <v>16960.428571429999</v>
      </c>
      <c r="L116" s="2">
        <v>118723</v>
      </c>
      <c r="M116" s="5" t="s">
        <v>454</v>
      </c>
      <c r="N116" s="8" t="s">
        <v>516</v>
      </c>
      <c r="O116" s="8" t="s">
        <v>460</v>
      </c>
      <c r="P116" s="1" t="str">
        <f t="shared" si="1"/>
        <v>13/05/2026</v>
      </c>
      <c r="Q116" s="18">
        <v>46155</v>
      </c>
      <c r="R116" s="19">
        <f ca="1">Table13[[#This Row],[Column1]]-TODAY()</f>
        <v>-94</v>
      </c>
    </row>
    <row r="117" spans="1:18">
      <c r="A117" s="7" t="s">
        <v>332</v>
      </c>
      <c r="B117" s="1" t="s">
        <v>302</v>
      </c>
      <c r="C117" s="1">
        <v>5</v>
      </c>
      <c r="D117" s="1" t="s">
        <v>14</v>
      </c>
      <c r="E117" s="1" t="s">
        <v>15</v>
      </c>
      <c r="F117" s="1">
        <v>5</v>
      </c>
      <c r="G117" s="1" t="s">
        <v>16</v>
      </c>
      <c r="H117" s="1" t="s">
        <v>62</v>
      </c>
      <c r="I117" s="1" t="s">
        <v>15</v>
      </c>
      <c r="J117" s="1" t="s">
        <v>15</v>
      </c>
      <c r="K117" s="1">
        <v>17344.2</v>
      </c>
      <c r="L117" s="2">
        <v>86721</v>
      </c>
      <c r="M117" s="5" t="s">
        <v>454</v>
      </c>
      <c r="N117" s="8" t="s">
        <v>516</v>
      </c>
      <c r="O117" s="8" t="s">
        <v>460</v>
      </c>
      <c r="P117" s="1" t="str">
        <f t="shared" si="1"/>
        <v>13/05/2026</v>
      </c>
      <c r="Q117" s="18">
        <v>46155</v>
      </c>
      <c r="R117" s="19">
        <f ca="1">Table13[[#This Row],[Column1]]-TODAY()</f>
        <v>-94</v>
      </c>
    </row>
    <row r="118" spans="1:18">
      <c r="A118" s="7" t="s">
        <v>333</v>
      </c>
      <c r="B118" s="1" t="s">
        <v>302</v>
      </c>
      <c r="C118" s="1">
        <v>4</v>
      </c>
      <c r="D118" s="1" t="s">
        <v>14</v>
      </c>
      <c r="E118" s="1" t="s">
        <v>15</v>
      </c>
      <c r="F118" s="1">
        <v>4</v>
      </c>
      <c r="G118" s="1" t="s">
        <v>16</v>
      </c>
      <c r="H118" s="1" t="s">
        <v>62</v>
      </c>
      <c r="I118" s="1" t="s">
        <v>15</v>
      </c>
      <c r="J118" s="1" t="s">
        <v>15</v>
      </c>
      <c r="K118" s="1">
        <v>18720.5</v>
      </c>
      <c r="L118" s="2">
        <v>74882</v>
      </c>
      <c r="M118" s="5" t="s">
        <v>454</v>
      </c>
      <c r="N118" s="8" t="s">
        <v>516</v>
      </c>
      <c r="O118" s="8" t="s">
        <v>460</v>
      </c>
      <c r="P118" s="1" t="str">
        <f t="shared" si="1"/>
        <v>13/05/2026</v>
      </c>
      <c r="Q118" s="18">
        <v>46155</v>
      </c>
      <c r="R118" s="19">
        <f ca="1">Table13[[#This Row],[Column1]]-TODAY()</f>
        <v>-94</v>
      </c>
    </row>
    <row r="119" spans="1:18">
      <c r="A119" s="7" t="s">
        <v>334</v>
      </c>
      <c r="B119" s="1" t="s">
        <v>321</v>
      </c>
      <c r="C119" s="1">
        <v>3</v>
      </c>
      <c r="D119" s="1" t="s">
        <v>14</v>
      </c>
      <c r="E119" s="1" t="s">
        <v>15</v>
      </c>
      <c r="F119" s="1">
        <v>3</v>
      </c>
      <c r="G119" s="1" t="s">
        <v>16</v>
      </c>
      <c r="H119" s="1" t="s">
        <v>287</v>
      </c>
      <c r="I119" s="1" t="s">
        <v>15</v>
      </c>
      <c r="J119" s="1" t="s">
        <v>15</v>
      </c>
      <c r="K119" s="1">
        <v>20694.33333333</v>
      </c>
      <c r="L119" s="2">
        <v>62083</v>
      </c>
      <c r="M119" s="5" t="s">
        <v>454</v>
      </c>
      <c r="N119" s="8" t="s">
        <v>516</v>
      </c>
      <c r="O119" s="8" t="s">
        <v>460</v>
      </c>
      <c r="P119" s="1" t="str">
        <f t="shared" si="1"/>
        <v>13/05/2026</v>
      </c>
      <c r="Q119" s="18">
        <v>46155</v>
      </c>
      <c r="R119" s="19">
        <f ca="1">Table13[[#This Row],[Column1]]-TODAY()</f>
        <v>-94</v>
      </c>
    </row>
    <row r="120" spans="1:18">
      <c r="A120" s="7" t="s">
        <v>335</v>
      </c>
      <c r="B120" s="1" t="s">
        <v>314</v>
      </c>
      <c r="C120" s="1">
        <v>7</v>
      </c>
      <c r="D120" s="1" t="s">
        <v>14</v>
      </c>
      <c r="E120" s="1" t="s">
        <v>15</v>
      </c>
      <c r="F120" s="1">
        <v>7</v>
      </c>
      <c r="G120" s="1" t="s">
        <v>16</v>
      </c>
      <c r="H120" s="1" t="s">
        <v>62</v>
      </c>
      <c r="I120" s="1" t="s">
        <v>15</v>
      </c>
      <c r="J120" s="1" t="s">
        <v>15</v>
      </c>
      <c r="K120" s="1">
        <v>12770.714285710001</v>
      </c>
      <c r="L120" s="2">
        <v>89395</v>
      </c>
      <c r="M120" s="5" t="s">
        <v>454</v>
      </c>
      <c r="N120" s="8" t="s">
        <v>516</v>
      </c>
      <c r="O120" s="8" t="s">
        <v>460</v>
      </c>
      <c r="P120" s="1" t="str">
        <f t="shared" si="1"/>
        <v>13/05/2026</v>
      </c>
      <c r="Q120" s="18">
        <v>46155</v>
      </c>
      <c r="R120" s="19">
        <f ca="1">Table13[[#This Row],[Column1]]-TODAY()</f>
        <v>-94</v>
      </c>
    </row>
    <row r="121" spans="1:18">
      <c r="A121" s="7" t="s">
        <v>336</v>
      </c>
      <c r="B121" s="1" t="s">
        <v>314</v>
      </c>
      <c r="C121" s="1">
        <v>7</v>
      </c>
      <c r="D121" s="1" t="s">
        <v>14</v>
      </c>
      <c r="E121" s="1" t="s">
        <v>15</v>
      </c>
      <c r="F121" s="1">
        <v>7</v>
      </c>
      <c r="G121" s="1" t="s">
        <v>16</v>
      </c>
      <c r="H121" s="1" t="s">
        <v>62</v>
      </c>
      <c r="I121" s="1" t="s">
        <v>15</v>
      </c>
      <c r="J121" s="1" t="s">
        <v>15</v>
      </c>
      <c r="K121" s="1">
        <v>16593.571428570001</v>
      </c>
      <c r="L121" s="2">
        <v>116155</v>
      </c>
      <c r="M121" s="5" t="s">
        <v>454</v>
      </c>
      <c r="N121" s="8" t="s">
        <v>516</v>
      </c>
      <c r="O121" s="8" t="s">
        <v>460</v>
      </c>
      <c r="P121" s="1" t="str">
        <f t="shared" si="1"/>
        <v>13/05/2026</v>
      </c>
      <c r="Q121" s="18">
        <v>46155</v>
      </c>
      <c r="R121" s="19">
        <f ca="1">Table13[[#This Row],[Column1]]-TODAY()</f>
        <v>-94</v>
      </c>
    </row>
    <row r="122" spans="1:18">
      <c r="A122" s="7" t="s">
        <v>337</v>
      </c>
      <c r="B122" s="1" t="s">
        <v>338</v>
      </c>
      <c r="C122" s="1">
        <v>5</v>
      </c>
      <c r="D122" s="1" t="s">
        <v>14</v>
      </c>
      <c r="E122" s="1" t="s">
        <v>15</v>
      </c>
      <c r="F122" s="1">
        <v>5</v>
      </c>
      <c r="G122" s="1" t="s">
        <v>16</v>
      </c>
      <c r="H122" s="1" t="s">
        <v>312</v>
      </c>
      <c r="I122" s="1" t="s">
        <v>15</v>
      </c>
      <c r="J122" s="1" t="s">
        <v>15</v>
      </c>
      <c r="K122" s="1">
        <v>16610.8</v>
      </c>
      <c r="L122" s="2">
        <v>83054</v>
      </c>
      <c r="M122" s="5" t="s">
        <v>454</v>
      </c>
      <c r="N122" s="8" t="s">
        <v>516</v>
      </c>
      <c r="O122" s="8" t="s">
        <v>460</v>
      </c>
      <c r="P122" s="1" t="str">
        <f t="shared" si="1"/>
        <v>13/05/2026</v>
      </c>
      <c r="Q122" s="18">
        <v>46155</v>
      </c>
      <c r="R122" s="19">
        <f ca="1">Table13[[#This Row],[Column1]]-TODAY()</f>
        <v>-94</v>
      </c>
    </row>
    <row r="123" spans="1:18">
      <c r="A123" s="7" t="s">
        <v>339</v>
      </c>
      <c r="B123" s="1" t="s">
        <v>340</v>
      </c>
      <c r="C123" s="1">
        <v>4</v>
      </c>
      <c r="D123" s="1" t="s">
        <v>14</v>
      </c>
      <c r="E123" s="1" t="s">
        <v>15</v>
      </c>
      <c r="F123" s="1">
        <v>4</v>
      </c>
      <c r="G123" s="1" t="s">
        <v>16</v>
      </c>
      <c r="H123" s="1" t="s">
        <v>312</v>
      </c>
      <c r="I123" s="1" t="s">
        <v>15</v>
      </c>
      <c r="J123" s="1" t="s">
        <v>15</v>
      </c>
      <c r="K123" s="1">
        <v>13142.75</v>
      </c>
      <c r="L123" s="2">
        <v>52571</v>
      </c>
      <c r="M123" s="5" t="s">
        <v>454</v>
      </c>
      <c r="N123" s="8" t="s">
        <v>516</v>
      </c>
      <c r="O123" s="8" t="s">
        <v>460</v>
      </c>
      <c r="P123" s="1" t="str">
        <f t="shared" si="1"/>
        <v>13/05/2026</v>
      </c>
      <c r="Q123" s="18">
        <v>46155</v>
      </c>
      <c r="R123" s="19">
        <f ca="1">Table13[[#This Row],[Column1]]-TODAY()</f>
        <v>-94</v>
      </c>
    </row>
    <row r="124" spans="1:18">
      <c r="A124" s="7" t="s">
        <v>341</v>
      </c>
      <c r="B124" s="1" t="s">
        <v>302</v>
      </c>
      <c r="C124" s="1">
        <v>7</v>
      </c>
      <c r="D124" s="1" t="s">
        <v>14</v>
      </c>
      <c r="E124" s="1" t="s">
        <v>15</v>
      </c>
      <c r="F124" s="1">
        <v>7</v>
      </c>
      <c r="G124" s="1" t="s">
        <v>16</v>
      </c>
      <c r="H124" s="1" t="s">
        <v>62</v>
      </c>
      <c r="I124" s="1" t="s">
        <v>15</v>
      </c>
      <c r="J124" s="1" t="s">
        <v>15</v>
      </c>
      <c r="K124" s="1">
        <v>12131.285714289999</v>
      </c>
      <c r="L124" s="2">
        <v>84919</v>
      </c>
      <c r="M124" s="5" t="s">
        <v>454</v>
      </c>
      <c r="N124" s="8" t="s">
        <v>516</v>
      </c>
      <c r="O124" s="8" t="s">
        <v>460</v>
      </c>
      <c r="P124" s="1" t="str">
        <f t="shared" si="1"/>
        <v>13/05/2026</v>
      </c>
      <c r="Q124" s="18">
        <v>46155</v>
      </c>
      <c r="R124" s="19">
        <f ca="1">Table13[[#This Row],[Column1]]-TODAY()</f>
        <v>-94</v>
      </c>
    </row>
    <row r="125" spans="1:18">
      <c r="A125" s="7" t="s">
        <v>342</v>
      </c>
      <c r="B125" s="1" t="s">
        <v>323</v>
      </c>
      <c r="C125" s="1">
        <v>10</v>
      </c>
      <c r="D125" s="1" t="s">
        <v>14</v>
      </c>
      <c r="E125" s="1" t="s">
        <v>15</v>
      </c>
      <c r="F125" s="1">
        <v>10</v>
      </c>
      <c r="G125" s="1" t="s">
        <v>16</v>
      </c>
      <c r="H125" s="1" t="s">
        <v>62</v>
      </c>
      <c r="I125" s="1" t="s">
        <v>15</v>
      </c>
      <c r="J125" s="1" t="s">
        <v>15</v>
      </c>
      <c r="K125" s="1">
        <v>10546.9</v>
      </c>
      <c r="L125" s="2">
        <v>105469</v>
      </c>
      <c r="M125" s="5" t="s">
        <v>454</v>
      </c>
      <c r="N125" s="8" t="s">
        <v>516</v>
      </c>
      <c r="O125" s="8" t="s">
        <v>460</v>
      </c>
      <c r="P125" s="1" t="str">
        <f t="shared" si="1"/>
        <v>13/05/2026</v>
      </c>
      <c r="Q125" s="18">
        <v>46155</v>
      </c>
      <c r="R125" s="19">
        <f ca="1">Table13[[#This Row],[Column1]]-TODAY()</f>
        <v>-94</v>
      </c>
    </row>
    <row r="126" spans="1:18">
      <c r="A126" s="7" t="s">
        <v>343</v>
      </c>
      <c r="B126" s="1" t="s">
        <v>302</v>
      </c>
      <c r="C126" s="1">
        <v>4</v>
      </c>
      <c r="D126" s="1" t="s">
        <v>14</v>
      </c>
      <c r="E126" s="1" t="s">
        <v>15</v>
      </c>
      <c r="F126" s="1">
        <v>4</v>
      </c>
      <c r="G126" s="1" t="s">
        <v>16</v>
      </c>
      <c r="H126" s="1" t="s">
        <v>62</v>
      </c>
      <c r="I126" s="1" t="s">
        <v>15</v>
      </c>
      <c r="J126" s="1" t="s">
        <v>15</v>
      </c>
      <c r="K126" s="1">
        <v>16285.75</v>
      </c>
      <c r="L126" s="2">
        <v>65143</v>
      </c>
      <c r="M126" s="5" t="s">
        <v>454</v>
      </c>
      <c r="N126" s="8" t="s">
        <v>516</v>
      </c>
      <c r="O126" s="8" t="s">
        <v>460</v>
      </c>
      <c r="P126" s="1" t="str">
        <f t="shared" si="1"/>
        <v>13/05/2026</v>
      </c>
      <c r="Q126" s="18">
        <v>46155</v>
      </c>
      <c r="R126" s="19">
        <f ca="1">Table13[[#This Row],[Column1]]-TODAY()</f>
        <v>-94</v>
      </c>
    </row>
    <row r="127" spans="1:18">
      <c r="A127" s="7" t="s">
        <v>344</v>
      </c>
      <c r="B127" s="1" t="s">
        <v>311</v>
      </c>
      <c r="C127" s="1">
        <v>3</v>
      </c>
      <c r="D127" s="1" t="s">
        <v>14</v>
      </c>
      <c r="E127" s="1" t="s">
        <v>15</v>
      </c>
      <c r="F127" s="1">
        <v>3</v>
      </c>
      <c r="G127" s="1" t="s">
        <v>16</v>
      </c>
      <c r="H127" s="1" t="s">
        <v>312</v>
      </c>
      <c r="I127" s="1" t="s">
        <v>15</v>
      </c>
      <c r="J127" s="1" t="s">
        <v>15</v>
      </c>
      <c r="K127" s="1">
        <v>20811.66666667</v>
      </c>
      <c r="L127" s="2">
        <v>62435</v>
      </c>
      <c r="M127" s="5" t="s">
        <v>454</v>
      </c>
      <c r="N127" s="8" t="s">
        <v>516</v>
      </c>
      <c r="O127" s="8" t="s">
        <v>460</v>
      </c>
      <c r="P127" s="1" t="str">
        <f t="shared" si="1"/>
        <v>13/05/2026</v>
      </c>
      <c r="Q127" s="18">
        <v>46155</v>
      </c>
      <c r="R127" s="19">
        <f ca="1">Table13[[#This Row],[Column1]]-TODAY()</f>
        <v>-94</v>
      </c>
    </row>
    <row r="128" spans="1:18">
      <c r="A128" s="7" t="s">
        <v>345</v>
      </c>
      <c r="B128" s="1" t="s">
        <v>346</v>
      </c>
      <c r="C128" s="1">
        <v>5</v>
      </c>
      <c r="D128" s="1" t="s">
        <v>14</v>
      </c>
      <c r="E128" s="1" t="s">
        <v>15</v>
      </c>
      <c r="F128" s="1">
        <v>5</v>
      </c>
      <c r="G128" s="1" t="s">
        <v>16</v>
      </c>
      <c r="H128" s="1" t="s">
        <v>23</v>
      </c>
      <c r="I128" s="1" t="s">
        <v>15</v>
      </c>
      <c r="J128" s="1" t="s">
        <v>15</v>
      </c>
      <c r="K128" s="1">
        <v>9872.6</v>
      </c>
      <c r="L128" s="2">
        <v>49363</v>
      </c>
      <c r="M128" s="5" t="s">
        <v>454</v>
      </c>
      <c r="N128" s="8" t="s">
        <v>516</v>
      </c>
      <c r="O128" s="8" t="s">
        <v>460</v>
      </c>
      <c r="P128" s="1" t="str">
        <f t="shared" si="1"/>
        <v>13/05/2026</v>
      </c>
      <c r="Q128" s="18">
        <v>46155</v>
      </c>
      <c r="R128" s="19">
        <f ca="1">Table13[[#This Row],[Column1]]-TODAY()</f>
        <v>-94</v>
      </c>
    </row>
    <row r="129" spans="1:18">
      <c r="A129" s="7" t="s">
        <v>347</v>
      </c>
      <c r="B129" s="1" t="s">
        <v>300</v>
      </c>
      <c r="C129" s="1">
        <v>10</v>
      </c>
      <c r="D129" s="1" t="s">
        <v>14</v>
      </c>
      <c r="E129" s="1" t="s">
        <v>15</v>
      </c>
      <c r="F129" s="1">
        <v>10</v>
      </c>
      <c r="G129" s="1" t="s">
        <v>16</v>
      </c>
      <c r="H129" s="1" t="s">
        <v>17</v>
      </c>
      <c r="I129" s="1" t="s">
        <v>15</v>
      </c>
      <c r="J129" s="1" t="s">
        <v>15</v>
      </c>
      <c r="K129" s="1">
        <v>13302.8</v>
      </c>
      <c r="L129" s="2">
        <v>133028</v>
      </c>
      <c r="M129" s="5" t="s">
        <v>454</v>
      </c>
      <c r="N129" s="8" t="s">
        <v>516</v>
      </c>
      <c r="O129" s="8" t="s">
        <v>460</v>
      </c>
      <c r="P129" s="1" t="str">
        <f t="shared" si="1"/>
        <v>13/05/2026</v>
      </c>
      <c r="Q129" s="18">
        <v>46155</v>
      </c>
      <c r="R129" s="19">
        <f ca="1">Table13[[#This Row],[Column1]]-TODAY()</f>
        <v>-94</v>
      </c>
    </row>
    <row r="130" spans="1:18">
      <c r="A130" s="7" t="s">
        <v>348</v>
      </c>
      <c r="B130" s="1" t="s">
        <v>227</v>
      </c>
      <c r="C130" s="1">
        <v>10</v>
      </c>
      <c r="D130" s="1" t="s">
        <v>14</v>
      </c>
      <c r="E130" s="1" t="s">
        <v>15</v>
      </c>
      <c r="F130" s="1">
        <v>10</v>
      </c>
      <c r="G130" s="1" t="s">
        <v>16</v>
      </c>
      <c r="H130" s="1" t="s">
        <v>17</v>
      </c>
      <c r="I130" s="1" t="s">
        <v>15</v>
      </c>
      <c r="J130" s="1" t="s">
        <v>15</v>
      </c>
      <c r="K130" s="1">
        <v>58760.2</v>
      </c>
      <c r="L130" s="2">
        <v>587602</v>
      </c>
      <c r="M130" s="5" t="s">
        <v>454</v>
      </c>
      <c r="N130" s="8" t="s">
        <v>516</v>
      </c>
      <c r="O130" s="8" t="s">
        <v>460</v>
      </c>
      <c r="P130" s="1" t="str">
        <f t="shared" ref="P130:P193" si="2">LEFT(M130,FIND("_",M130)-1)</f>
        <v>13/05/2026</v>
      </c>
      <c r="Q130" s="18">
        <v>46155</v>
      </c>
      <c r="R130" s="19">
        <f ca="1">Table13[[#This Row],[Column1]]-TODAY()</f>
        <v>-94</v>
      </c>
    </row>
    <row r="131" spans="1:18">
      <c r="A131" s="7" t="s">
        <v>349</v>
      </c>
      <c r="B131" s="1" t="s">
        <v>350</v>
      </c>
      <c r="C131" s="1">
        <v>4</v>
      </c>
      <c r="D131" s="1" t="s">
        <v>14</v>
      </c>
      <c r="E131" s="1" t="s">
        <v>15</v>
      </c>
      <c r="F131" s="1">
        <v>4</v>
      </c>
      <c r="G131" s="1" t="s">
        <v>16</v>
      </c>
      <c r="H131" s="1" t="s">
        <v>62</v>
      </c>
      <c r="I131" s="1" t="s">
        <v>15</v>
      </c>
      <c r="J131" s="1" t="s">
        <v>15</v>
      </c>
      <c r="K131" s="1">
        <v>61599.25</v>
      </c>
      <c r="L131" s="2">
        <v>246397</v>
      </c>
      <c r="M131" s="5" t="s">
        <v>454</v>
      </c>
      <c r="N131" s="8" t="s">
        <v>516</v>
      </c>
      <c r="O131" s="8" t="s">
        <v>460</v>
      </c>
      <c r="P131" s="1" t="str">
        <f t="shared" si="2"/>
        <v>13/05/2026</v>
      </c>
      <c r="Q131" s="18">
        <v>46155</v>
      </c>
      <c r="R131" s="19">
        <f ca="1">Table13[[#This Row],[Column1]]-TODAY()</f>
        <v>-94</v>
      </c>
    </row>
    <row r="132" spans="1:18">
      <c r="A132" s="7" t="s">
        <v>351</v>
      </c>
      <c r="B132" s="1" t="s">
        <v>352</v>
      </c>
      <c r="C132" s="1">
        <v>6</v>
      </c>
      <c r="D132" s="1" t="s">
        <v>14</v>
      </c>
      <c r="E132" s="1" t="s">
        <v>15</v>
      </c>
      <c r="F132" s="1">
        <v>6</v>
      </c>
      <c r="G132" s="1" t="s">
        <v>16</v>
      </c>
      <c r="H132" s="1" t="s">
        <v>312</v>
      </c>
      <c r="I132" s="1" t="s">
        <v>15</v>
      </c>
      <c r="J132" s="1" t="s">
        <v>15</v>
      </c>
      <c r="K132" s="1">
        <v>43369.833333330003</v>
      </c>
      <c r="L132" s="2">
        <v>260219</v>
      </c>
      <c r="M132" s="5" t="s">
        <v>454</v>
      </c>
      <c r="N132" s="8" t="s">
        <v>516</v>
      </c>
      <c r="O132" s="8" t="s">
        <v>460</v>
      </c>
      <c r="P132" s="1" t="str">
        <f t="shared" si="2"/>
        <v>13/05/2026</v>
      </c>
      <c r="Q132" s="18">
        <v>46155</v>
      </c>
      <c r="R132" s="19">
        <f ca="1">Table13[[#This Row],[Column1]]-TODAY()</f>
        <v>-94</v>
      </c>
    </row>
    <row r="133" spans="1:18">
      <c r="A133" s="7" t="s">
        <v>353</v>
      </c>
      <c r="B133" s="1" t="s">
        <v>354</v>
      </c>
      <c r="C133" s="1">
        <v>5</v>
      </c>
      <c r="D133" s="1" t="s">
        <v>14</v>
      </c>
      <c r="E133" s="1" t="s">
        <v>15</v>
      </c>
      <c r="F133" s="1">
        <v>5</v>
      </c>
      <c r="G133" s="1" t="s">
        <v>355</v>
      </c>
      <c r="H133" s="1" t="s">
        <v>101</v>
      </c>
      <c r="I133" s="1" t="s">
        <v>15</v>
      </c>
      <c r="J133" s="1" t="s">
        <v>15</v>
      </c>
      <c r="K133" s="1">
        <v>12336.6</v>
      </c>
      <c r="L133" s="2">
        <v>61683</v>
      </c>
      <c r="M133" s="5" t="s">
        <v>454</v>
      </c>
      <c r="N133" s="8" t="s">
        <v>516</v>
      </c>
      <c r="O133" s="8" t="s">
        <v>460</v>
      </c>
      <c r="P133" s="1" t="str">
        <f t="shared" si="2"/>
        <v>13/05/2026</v>
      </c>
      <c r="Q133" s="18">
        <v>46155</v>
      </c>
      <c r="R133" s="19">
        <f ca="1">Table13[[#This Row],[Column1]]-TODAY()</f>
        <v>-94</v>
      </c>
    </row>
    <row r="134" spans="1:18">
      <c r="A134" s="7" t="s">
        <v>356</v>
      </c>
      <c r="B134" s="1" t="s">
        <v>357</v>
      </c>
      <c r="C134" s="1">
        <v>9</v>
      </c>
      <c r="D134" s="1" t="s">
        <v>14</v>
      </c>
      <c r="E134" s="1" t="s">
        <v>15</v>
      </c>
      <c r="F134" s="1">
        <v>9</v>
      </c>
      <c r="G134" s="1" t="s">
        <v>16</v>
      </c>
      <c r="H134" s="1" t="s">
        <v>101</v>
      </c>
      <c r="I134" s="1" t="s">
        <v>15</v>
      </c>
      <c r="J134" s="1" t="s">
        <v>15</v>
      </c>
      <c r="K134" s="1">
        <v>14421.11111111</v>
      </c>
      <c r="L134" s="2">
        <v>129790</v>
      </c>
      <c r="M134" s="5" t="s">
        <v>454</v>
      </c>
      <c r="N134" s="8" t="s">
        <v>516</v>
      </c>
      <c r="O134" s="8" t="s">
        <v>460</v>
      </c>
      <c r="P134" s="1" t="str">
        <f t="shared" si="2"/>
        <v>13/05/2026</v>
      </c>
      <c r="Q134" s="18">
        <v>46155</v>
      </c>
      <c r="R134" s="19">
        <f ca="1">Table13[[#This Row],[Column1]]-TODAY()</f>
        <v>-94</v>
      </c>
    </row>
    <row r="135" spans="1:18">
      <c r="A135" s="7" t="s">
        <v>358</v>
      </c>
      <c r="B135" s="1" t="s">
        <v>317</v>
      </c>
      <c r="C135" s="1">
        <v>8</v>
      </c>
      <c r="D135" s="1" t="s">
        <v>14</v>
      </c>
      <c r="E135" s="1" t="s">
        <v>15</v>
      </c>
      <c r="F135" s="1">
        <v>8</v>
      </c>
      <c r="G135" s="1" t="s">
        <v>16</v>
      </c>
      <c r="H135" s="1" t="s">
        <v>312</v>
      </c>
      <c r="I135" s="1" t="s">
        <v>15</v>
      </c>
      <c r="J135" s="1" t="s">
        <v>15</v>
      </c>
      <c r="K135" s="1">
        <v>9897.5</v>
      </c>
      <c r="L135" s="2">
        <v>79180</v>
      </c>
      <c r="M135" s="5" t="s">
        <v>454</v>
      </c>
      <c r="N135" s="8" t="s">
        <v>516</v>
      </c>
      <c r="O135" s="8" t="s">
        <v>460</v>
      </c>
      <c r="P135" s="1" t="str">
        <f t="shared" si="2"/>
        <v>13/05/2026</v>
      </c>
      <c r="Q135" s="18">
        <v>46155</v>
      </c>
      <c r="R135" s="19">
        <f ca="1">Table13[[#This Row],[Column1]]-TODAY()</f>
        <v>-94</v>
      </c>
    </row>
    <row r="136" spans="1:18">
      <c r="A136" s="7" t="s">
        <v>359</v>
      </c>
      <c r="B136" s="1" t="s">
        <v>360</v>
      </c>
      <c r="C136" s="1">
        <v>4</v>
      </c>
      <c r="D136" s="1" t="s">
        <v>14</v>
      </c>
      <c r="E136" s="1" t="s">
        <v>15</v>
      </c>
      <c r="F136" s="1">
        <v>4</v>
      </c>
      <c r="G136" s="1" t="s">
        <v>16</v>
      </c>
      <c r="H136" s="1" t="s">
        <v>361</v>
      </c>
      <c r="I136" s="1" t="s">
        <v>15</v>
      </c>
      <c r="J136" s="1" t="s">
        <v>15</v>
      </c>
      <c r="K136" s="1">
        <v>13051.25</v>
      </c>
      <c r="L136" s="2">
        <v>52205</v>
      </c>
      <c r="M136" s="5" t="s">
        <v>454</v>
      </c>
      <c r="N136" s="8" t="s">
        <v>516</v>
      </c>
      <c r="O136" s="8" t="s">
        <v>460</v>
      </c>
      <c r="P136" s="1" t="str">
        <f t="shared" si="2"/>
        <v>13/05/2026</v>
      </c>
      <c r="Q136" s="18">
        <v>46155</v>
      </c>
      <c r="R136" s="19">
        <f ca="1">Table13[[#This Row],[Column1]]-TODAY()</f>
        <v>-94</v>
      </c>
    </row>
    <row r="137" spans="1:18">
      <c r="A137" s="7" t="s">
        <v>362</v>
      </c>
      <c r="B137" s="1" t="s">
        <v>363</v>
      </c>
      <c r="C137" s="1">
        <v>5</v>
      </c>
      <c r="D137" s="1" t="s">
        <v>14</v>
      </c>
      <c r="E137" s="1" t="s">
        <v>15</v>
      </c>
      <c r="F137" s="1">
        <v>5</v>
      </c>
      <c r="G137" s="1" t="s">
        <v>16</v>
      </c>
      <c r="H137" s="1" t="s">
        <v>62</v>
      </c>
      <c r="I137" s="1" t="s">
        <v>15</v>
      </c>
      <c r="J137" s="1" t="s">
        <v>15</v>
      </c>
      <c r="K137" s="1">
        <v>16730.2</v>
      </c>
      <c r="L137" s="2">
        <v>83651</v>
      </c>
      <c r="M137" s="5" t="s">
        <v>454</v>
      </c>
      <c r="N137" s="8" t="s">
        <v>516</v>
      </c>
      <c r="O137" s="8" t="s">
        <v>460</v>
      </c>
      <c r="P137" s="1" t="str">
        <f t="shared" si="2"/>
        <v>13/05/2026</v>
      </c>
      <c r="Q137" s="18">
        <v>46155</v>
      </c>
      <c r="R137" s="19">
        <f ca="1">Table13[[#This Row],[Column1]]-TODAY()</f>
        <v>-94</v>
      </c>
    </row>
    <row r="138" spans="1:18">
      <c r="A138" s="7" t="s">
        <v>364</v>
      </c>
      <c r="B138" s="1" t="s">
        <v>302</v>
      </c>
      <c r="C138" s="1">
        <v>7</v>
      </c>
      <c r="D138" s="1" t="s">
        <v>14</v>
      </c>
      <c r="E138" s="1" t="s">
        <v>15</v>
      </c>
      <c r="F138" s="1">
        <v>7</v>
      </c>
      <c r="G138" s="1" t="s">
        <v>16</v>
      </c>
      <c r="H138" s="1" t="s">
        <v>62</v>
      </c>
      <c r="I138" s="1" t="s">
        <v>15</v>
      </c>
      <c r="J138" s="1" t="s">
        <v>15</v>
      </c>
      <c r="K138" s="1">
        <v>14027</v>
      </c>
      <c r="L138" s="2">
        <v>98189</v>
      </c>
      <c r="M138" s="5" t="s">
        <v>454</v>
      </c>
      <c r="N138" s="8" t="s">
        <v>516</v>
      </c>
      <c r="O138" s="8" t="s">
        <v>460</v>
      </c>
      <c r="P138" s="1" t="str">
        <f t="shared" si="2"/>
        <v>13/05/2026</v>
      </c>
      <c r="Q138" s="18">
        <v>46155</v>
      </c>
      <c r="R138" s="19">
        <f ca="1">Table13[[#This Row],[Column1]]-TODAY()</f>
        <v>-94</v>
      </c>
    </row>
    <row r="139" spans="1:18">
      <c r="A139" s="7" t="s">
        <v>365</v>
      </c>
      <c r="B139" s="1" t="s">
        <v>366</v>
      </c>
      <c r="C139" s="1">
        <v>8</v>
      </c>
      <c r="D139" s="1" t="s">
        <v>14</v>
      </c>
      <c r="E139" s="1" t="s">
        <v>15</v>
      </c>
      <c r="F139" s="1">
        <v>8</v>
      </c>
      <c r="G139" s="1" t="s">
        <v>16</v>
      </c>
      <c r="H139" s="1" t="s">
        <v>20</v>
      </c>
      <c r="I139" s="1" t="s">
        <v>15</v>
      </c>
      <c r="J139" s="1" t="s">
        <v>15</v>
      </c>
      <c r="K139" s="1">
        <v>15377.125</v>
      </c>
      <c r="L139" s="2">
        <v>123017</v>
      </c>
      <c r="M139" s="5" t="s">
        <v>454</v>
      </c>
      <c r="N139" s="8" t="s">
        <v>516</v>
      </c>
      <c r="O139" s="8" t="s">
        <v>460</v>
      </c>
      <c r="P139" s="1" t="str">
        <f t="shared" si="2"/>
        <v>13/05/2026</v>
      </c>
      <c r="Q139" s="18">
        <v>46155</v>
      </c>
      <c r="R139" s="19">
        <f ca="1">Table13[[#This Row],[Column1]]-TODAY()</f>
        <v>-94</v>
      </c>
    </row>
    <row r="140" spans="1:18">
      <c r="A140" s="7" t="s">
        <v>367</v>
      </c>
      <c r="B140" s="1" t="s">
        <v>227</v>
      </c>
      <c r="C140" s="1">
        <v>10</v>
      </c>
      <c r="D140" s="1" t="s">
        <v>14</v>
      </c>
      <c r="E140" s="1" t="s">
        <v>15</v>
      </c>
      <c r="F140" s="1">
        <v>10</v>
      </c>
      <c r="G140" s="1" t="s">
        <v>16</v>
      </c>
      <c r="H140" s="1" t="s">
        <v>17</v>
      </c>
      <c r="I140" s="1" t="s">
        <v>15</v>
      </c>
      <c r="J140" s="1" t="s">
        <v>15</v>
      </c>
      <c r="K140" s="1">
        <v>31145.1</v>
      </c>
      <c r="L140" s="2">
        <v>311451</v>
      </c>
      <c r="M140" s="5" t="s">
        <v>454</v>
      </c>
      <c r="N140" s="8" t="s">
        <v>516</v>
      </c>
      <c r="O140" s="8" t="s">
        <v>460</v>
      </c>
      <c r="P140" s="1" t="str">
        <f t="shared" si="2"/>
        <v>13/05/2026</v>
      </c>
      <c r="Q140" s="18">
        <v>46155</v>
      </c>
      <c r="R140" s="19">
        <f ca="1">Table13[[#This Row],[Column1]]-TODAY()</f>
        <v>-94</v>
      </c>
    </row>
    <row r="141" spans="1:18">
      <c r="A141" s="7" t="s">
        <v>368</v>
      </c>
      <c r="B141" s="1" t="s">
        <v>302</v>
      </c>
      <c r="C141" s="1">
        <v>9</v>
      </c>
      <c r="D141" s="1" t="s">
        <v>14</v>
      </c>
      <c r="E141" s="1" t="s">
        <v>15</v>
      </c>
      <c r="F141" s="1">
        <v>9</v>
      </c>
      <c r="G141" s="1" t="s">
        <v>16</v>
      </c>
      <c r="H141" s="1" t="s">
        <v>62</v>
      </c>
      <c r="I141" s="1" t="s">
        <v>15</v>
      </c>
      <c r="J141" s="1" t="s">
        <v>15</v>
      </c>
      <c r="K141" s="1">
        <v>14003.55555556</v>
      </c>
      <c r="L141" s="2">
        <v>126032</v>
      </c>
      <c r="M141" s="5" t="s">
        <v>454</v>
      </c>
      <c r="N141" s="8" t="s">
        <v>516</v>
      </c>
      <c r="O141" s="8" t="s">
        <v>460</v>
      </c>
      <c r="P141" s="1" t="str">
        <f t="shared" si="2"/>
        <v>13/05/2026</v>
      </c>
      <c r="Q141" s="18">
        <v>46155</v>
      </c>
      <c r="R141" s="19">
        <f ca="1">Table13[[#This Row],[Column1]]-TODAY()</f>
        <v>-94</v>
      </c>
    </row>
    <row r="142" spans="1:18">
      <c r="A142" s="7" t="s">
        <v>369</v>
      </c>
      <c r="B142" s="1" t="s">
        <v>370</v>
      </c>
      <c r="C142" s="1">
        <v>6</v>
      </c>
      <c r="D142" s="1" t="s">
        <v>14</v>
      </c>
      <c r="E142" s="1" t="s">
        <v>15</v>
      </c>
      <c r="F142" s="1">
        <v>6</v>
      </c>
      <c r="G142" s="1" t="s">
        <v>16</v>
      </c>
      <c r="H142" s="1" t="s">
        <v>101</v>
      </c>
      <c r="I142" s="1" t="s">
        <v>15</v>
      </c>
      <c r="J142" s="1" t="s">
        <v>15</v>
      </c>
      <c r="K142" s="1">
        <v>34456.833333330003</v>
      </c>
      <c r="L142" s="2">
        <v>206741</v>
      </c>
      <c r="M142" s="5" t="s">
        <v>454</v>
      </c>
      <c r="N142" s="8" t="s">
        <v>516</v>
      </c>
      <c r="O142" s="8" t="s">
        <v>460</v>
      </c>
      <c r="P142" s="1" t="str">
        <f t="shared" si="2"/>
        <v>13/05/2026</v>
      </c>
      <c r="Q142" s="18">
        <v>46155</v>
      </c>
      <c r="R142" s="19">
        <f ca="1">Table13[[#This Row],[Column1]]-TODAY()</f>
        <v>-94</v>
      </c>
    </row>
    <row r="143" spans="1:18">
      <c r="A143" s="7" t="s">
        <v>371</v>
      </c>
      <c r="B143" s="1" t="s">
        <v>302</v>
      </c>
      <c r="C143" s="1">
        <v>3</v>
      </c>
      <c r="D143" s="1" t="s">
        <v>14</v>
      </c>
      <c r="E143" s="1" t="s">
        <v>15</v>
      </c>
      <c r="F143" s="1">
        <v>3</v>
      </c>
      <c r="G143" s="1" t="s">
        <v>16</v>
      </c>
      <c r="H143" s="1" t="s">
        <v>62</v>
      </c>
      <c r="I143" s="1" t="s">
        <v>15</v>
      </c>
      <c r="J143" s="1" t="s">
        <v>15</v>
      </c>
      <c r="K143" s="1">
        <v>10787.66666667</v>
      </c>
      <c r="L143" s="2">
        <v>32363</v>
      </c>
      <c r="M143" s="5" t="s">
        <v>454</v>
      </c>
      <c r="N143" s="8" t="s">
        <v>516</v>
      </c>
      <c r="O143" s="8" t="s">
        <v>460</v>
      </c>
      <c r="P143" s="1" t="str">
        <f t="shared" si="2"/>
        <v>13/05/2026</v>
      </c>
      <c r="Q143" s="18">
        <v>46155</v>
      </c>
      <c r="R143" s="19">
        <f ca="1">Table13[[#This Row],[Column1]]-TODAY()</f>
        <v>-94</v>
      </c>
    </row>
    <row r="144" spans="1:18">
      <c r="A144" s="7" t="s">
        <v>372</v>
      </c>
      <c r="B144" s="1" t="s">
        <v>61</v>
      </c>
      <c r="C144" s="1">
        <v>6</v>
      </c>
      <c r="D144" s="1" t="s">
        <v>14</v>
      </c>
      <c r="E144" s="1" t="s">
        <v>15</v>
      </c>
      <c r="F144" s="1">
        <v>6</v>
      </c>
      <c r="G144" s="1" t="s">
        <v>16</v>
      </c>
      <c r="H144" s="1" t="s">
        <v>62</v>
      </c>
      <c r="I144" s="1" t="s">
        <v>15</v>
      </c>
      <c r="J144" s="1" t="s">
        <v>15</v>
      </c>
      <c r="K144" s="1">
        <v>15967.33333333</v>
      </c>
      <c r="L144" s="2">
        <v>95804</v>
      </c>
      <c r="M144" s="5" t="s">
        <v>454</v>
      </c>
      <c r="N144" s="8" t="s">
        <v>516</v>
      </c>
      <c r="O144" s="8" t="s">
        <v>460</v>
      </c>
      <c r="P144" s="1" t="str">
        <f t="shared" si="2"/>
        <v>13/05/2026</v>
      </c>
      <c r="Q144" s="18">
        <v>46155</v>
      </c>
      <c r="R144" s="19">
        <f ca="1">Table13[[#This Row],[Column1]]-TODAY()</f>
        <v>-94</v>
      </c>
    </row>
    <row r="145" spans="1:18">
      <c r="A145" s="7" t="s">
        <v>373</v>
      </c>
      <c r="B145" s="1" t="s">
        <v>294</v>
      </c>
      <c r="C145" s="1">
        <v>9</v>
      </c>
      <c r="D145" s="1" t="s">
        <v>14</v>
      </c>
      <c r="E145" s="1" t="s">
        <v>15</v>
      </c>
      <c r="F145" s="1">
        <v>9</v>
      </c>
      <c r="G145" s="1" t="s">
        <v>16</v>
      </c>
      <c r="H145" s="1" t="s">
        <v>17</v>
      </c>
      <c r="I145" s="1" t="s">
        <v>15</v>
      </c>
      <c r="J145" s="1" t="s">
        <v>15</v>
      </c>
      <c r="K145" s="1">
        <v>15786.77777778</v>
      </c>
      <c r="L145" s="2">
        <v>142081</v>
      </c>
      <c r="M145" s="5" t="s">
        <v>454</v>
      </c>
      <c r="N145" s="8" t="s">
        <v>516</v>
      </c>
      <c r="O145" s="8" t="s">
        <v>460</v>
      </c>
      <c r="P145" s="1" t="str">
        <f t="shared" si="2"/>
        <v>13/05/2026</v>
      </c>
      <c r="Q145" s="18">
        <v>46155</v>
      </c>
      <c r="R145" s="19">
        <f ca="1">Table13[[#This Row],[Column1]]-TODAY()</f>
        <v>-94</v>
      </c>
    </row>
    <row r="146" spans="1:18">
      <c r="A146" s="7" t="s">
        <v>374</v>
      </c>
      <c r="B146" s="1" t="s">
        <v>110</v>
      </c>
      <c r="C146" s="1">
        <v>7</v>
      </c>
      <c r="D146" s="1" t="s">
        <v>14</v>
      </c>
      <c r="E146" s="1" t="s">
        <v>15</v>
      </c>
      <c r="F146" s="1">
        <v>7</v>
      </c>
      <c r="G146" s="1" t="s">
        <v>16</v>
      </c>
      <c r="H146" s="1" t="s">
        <v>17</v>
      </c>
      <c r="I146" s="1" t="s">
        <v>15</v>
      </c>
      <c r="J146" s="1" t="s">
        <v>15</v>
      </c>
      <c r="K146" s="1">
        <v>12573</v>
      </c>
      <c r="L146" s="2">
        <v>88011</v>
      </c>
      <c r="M146" s="5" t="s">
        <v>454</v>
      </c>
      <c r="N146" s="8" t="s">
        <v>516</v>
      </c>
      <c r="O146" s="8" t="s">
        <v>460</v>
      </c>
      <c r="P146" s="1" t="str">
        <f t="shared" si="2"/>
        <v>13/05/2026</v>
      </c>
      <c r="Q146" s="18">
        <v>46155</v>
      </c>
      <c r="R146" s="19">
        <f ca="1">Table13[[#This Row],[Column1]]-TODAY()</f>
        <v>-94</v>
      </c>
    </row>
    <row r="147" spans="1:18">
      <c r="A147" s="7" t="s">
        <v>377</v>
      </c>
      <c r="B147" s="1" t="s">
        <v>314</v>
      </c>
      <c r="C147" s="1">
        <v>10</v>
      </c>
      <c r="D147" s="1" t="s">
        <v>14</v>
      </c>
      <c r="E147" s="1" t="s">
        <v>15</v>
      </c>
      <c r="F147" s="1">
        <v>10</v>
      </c>
      <c r="G147" s="1" t="s">
        <v>16</v>
      </c>
      <c r="H147" s="1" t="s">
        <v>62</v>
      </c>
      <c r="I147" s="1" t="s">
        <v>15</v>
      </c>
      <c r="J147" s="1" t="s">
        <v>15</v>
      </c>
      <c r="K147" s="1">
        <v>18771.599999999999</v>
      </c>
      <c r="L147" s="2">
        <v>187716</v>
      </c>
      <c r="M147" s="5" t="s">
        <v>454</v>
      </c>
      <c r="N147" s="8" t="s">
        <v>516</v>
      </c>
      <c r="O147" s="8" t="s">
        <v>460</v>
      </c>
      <c r="P147" s="1" t="str">
        <f t="shared" si="2"/>
        <v>13/05/2026</v>
      </c>
      <c r="Q147" s="18">
        <v>46155</v>
      </c>
      <c r="R147" s="19">
        <f ca="1">Table13[[#This Row],[Column1]]-TODAY()</f>
        <v>-94</v>
      </c>
    </row>
    <row r="148" spans="1:18">
      <c r="A148" s="7" t="s">
        <v>378</v>
      </c>
      <c r="B148" s="1" t="s">
        <v>379</v>
      </c>
      <c r="C148" s="1">
        <v>8</v>
      </c>
      <c r="D148" s="1" t="s">
        <v>14</v>
      </c>
      <c r="E148" s="1" t="s">
        <v>15</v>
      </c>
      <c r="F148" s="1">
        <v>8</v>
      </c>
      <c r="G148" s="1" t="s">
        <v>16</v>
      </c>
      <c r="H148" s="1" t="s">
        <v>62</v>
      </c>
      <c r="I148" s="1" t="s">
        <v>15</v>
      </c>
      <c r="J148" s="1" t="s">
        <v>15</v>
      </c>
      <c r="K148" s="1">
        <v>21345.5</v>
      </c>
      <c r="L148" s="2">
        <v>170764</v>
      </c>
      <c r="M148" s="5" t="s">
        <v>454</v>
      </c>
      <c r="N148" s="8" t="s">
        <v>516</v>
      </c>
      <c r="O148" s="8" t="s">
        <v>460</v>
      </c>
      <c r="P148" s="1" t="str">
        <f t="shared" si="2"/>
        <v>13/05/2026</v>
      </c>
      <c r="Q148" s="18">
        <v>46155</v>
      </c>
      <c r="R148" s="19">
        <f ca="1">Table13[[#This Row],[Column1]]-TODAY()</f>
        <v>-94</v>
      </c>
    </row>
    <row r="149" spans="1:18">
      <c r="A149" s="7" t="s">
        <v>380</v>
      </c>
      <c r="B149" s="1" t="s">
        <v>302</v>
      </c>
      <c r="C149" s="1">
        <v>3</v>
      </c>
      <c r="D149" s="1" t="s">
        <v>14</v>
      </c>
      <c r="E149" s="1" t="s">
        <v>15</v>
      </c>
      <c r="F149" s="1">
        <v>3</v>
      </c>
      <c r="G149" s="1" t="s">
        <v>16</v>
      </c>
      <c r="H149" s="1" t="s">
        <v>62</v>
      </c>
      <c r="I149" s="1" t="s">
        <v>15</v>
      </c>
      <c r="J149" s="1" t="s">
        <v>15</v>
      </c>
      <c r="K149" s="1">
        <v>19937</v>
      </c>
      <c r="L149" s="2">
        <v>59811</v>
      </c>
      <c r="M149" s="5" t="s">
        <v>454</v>
      </c>
      <c r="N149" s="8" t="s">
        <v>516</v>
      </c>
      <c r="O149" s="8" t="s">
        <v>460</v>
      </c>
      <c r="P149" s="1" t="str">
        <f t="shared" si="2"/>
        <v>13/05/2026</v>
      </c>
      <c r="Q149" s="18">
        <v>46155</v>
      </c>
      <c r="R149" s="19">
        <f ca="1">Table13[[#This Row],[Column1]]-TODAY()</f>
        <v>-94</v>
      </c>
    </row>
    <row r="150" spans="1:18">
      <c r="A150" s="7" t="s">
        <v>381</v>
      </c>
      <c r="B150" s="1" t="s">
        <v>108</v>
      </c>
      <c r="C150" s="1">
        <v>4</v>
      </c>
      <c r="D150" s="1" t="s">
        <v>14</v>
      </c>
      <c r="E150" s="1" t="s">
        <v>15</v>
      </c>
      <c r="F150" s="1">
        <v>4</v>
      </c>
      <c r="G150" s="1" t="s">
        <v>16</v>
      </c>
      <c r="H150" s="1" t="s">
        <v>26</v>
      </c>
      <c r="I150" s="1" t="s">
        <v>15</v>
      </c>
      <c r="J150" s="1" t="s">
        <v>15</v>
      </c>
      <c r="K150" s="1">
        <v>28051</v>
      </c>
      <c r="L150" s="2">
        <v>112204</v>
      </c>
      <c r="M150" s="5" t="s">
        <v>454</v>
      </c>
      <c r="N150" s="8" t="s">
        <v>516</v>
      </c>
      <c r="O150" s="8" t="s">
        <v>460</v>
      </c>
      <c r="P150" s="1" t="str">
        <f t="shared" si="2"/>
        <v>13/05/2026</v>
      </c>
      <c r="Q150" s="18">
        <v>46155</v>
      </c>
      <c r="R150" s="19">
        <f ca="1">Table13[[#This Row],[Column1]]-TODAY()</f>
        <v>-94</v>
      </c>
    </row>
    <row r="151" spans="1:18">
      <c r="A151" s="7" t="s">
        <v>382</v>
      </c>
      <c r="B151" s="1" t="s">
        <v>302</v>
      </c>
      <c r="C151" s="1">
        <v>4</v>
      </c>
      <c r="D151" s="1" t="s">
        <v>14</v>
      </c>
      <c r="E151" s="1" t="s">
        <v>15</v>
      </c>
      <c r="F151" s="1">
        <v>4</v>
      </c>
      <c r="G151" s="1" t="s">
        <v>16</v>
      </c>
      <c r="H151" s="1" t="s">
        <v>62</v>
      </c>
      <c r="I151" s="1" t="s">
        <v>15</v>
      </c>
      <c r="J151" s="1" t="s">
        <v>15</v>
      </c>
      <c r="K151" s="1">
        <v>14721.5</v>
      </c>
      <c r="L151" s="2">
        <v>58886</v>
      </c>
      <c r="M151" s="5" t="s">
        <v>454</v>
      </c>
      <c r="N151" s="8" t="s">
        <v>516</v>
      </c>
      <c r="O151" s="8" t="s">
        <v>460</v>
      </c>
      <c r="P151" s="1" t="str">
        <f t="shared" si="2"/>
        <v>13/05/2026</v>
      </c>
      <c r="Q151" s="18">
        <v>46155</v>
      </c>
      <c r="R151" s="19">
        <f ca="1">Table13[[#This Row],[Column1]]-TODAY()</f>
        <v>-94</v>
      </c>
    </row>
    <row r="152" spans="1:18">
      <c r="A152" s="7" t="s">
        <v>383</v>
      </c>
      <c r="B152" s="1" t="s">
        <v>302</v>
      </c>
      <c r="C152" s="1">
        <v>7</v>
      </c>
      <c r="D152" s="1" t="s">
        <v>14</v>
      </c>
      <c r="E152" s="1" t="s">
        <v>15</v>
      </c>
      <c r="F152" s="1">
        <v>7</v>
      </c>
      <c r="G152" s="1" t="s">
        <v>16</v>
      </c>
      <c r="H152" s="1" t="s">
        <v>62</v>
      </c>
      <c r="I152" s="1" t="s">
        <v>15</v>
      </c>
      <c r="J152" s="1" t="s">
        <v>15</v>
      </c>
      <c r="K152" s="1">
        <v>19752.714285710001</v>
      </c>
      <c r="L152" s="2">
        <v>138269</v>
      </c>
      <c r="M152" s="5" t="s">
        <v>454</v>
      </c>
      <c r="N152" s="8" t="s">
        <v>516</v>
      </c>
      <c r="O152" s="8" t="s">
        <v>460</v>
      </c>
      <c r="P152" s="1" t="str">
        <f t="shared" si="2"/>
        <v>13/05/2026</v>
      </c>
      <c r="Q152" s="18">
        <v>46155</v>
      </c>
      <c r="R152" s="19">
        <f ca="1">Table13[[#This Row],[Column1]]-TODAY()</f>
        <v>-94</v>
      </c>
    </row>
    <row r="153" spans="1:18">
      <c r="A153" s="7" t="s">
        <v>384</v>
      </c>
      <c r="B153" s="1" t="s">
        <v>302</v>
      </c>
      <c r="C153" s="1">
        <v>4</v>
      </c>
      <c r="D153" s="1" t="s">
        <v>14</v>
      </c>
      <c r="E153" s="1" t="s">
        <v>15</v>
      </c>
      <c r="F153" s="1">
        <v>4</v>
      </c>
      <c r="G153" s="1" t="s">
        <v>16</v>
      </c>
      <c r="H153" s="1" t="s">
        <v>62</v>
      </c>
      <c r="I153" s="1" t="s">
        <v>15</v>
      </c>
      <c r="J153" s="1" t="s">
        <v>15</v>
      </c>
      <c r="K153" s="1">
        <v>23672.75</v>
      </c>
      <c r="L153" s="2">
        <v>94691</v>
      </c>
      <c r="M153" s="5" t="s">
        <v>454</v>
      </c>
      <c r="N153" s="8" t="s">
        <v>516</v>
      </c>
      <c r="O153" s="8" t="s">
        <v>460</v>
      </c>
      <c r="P153" s="1" t="str">
        <f t="shared" si="2"/>
        <v>13/05/2026</v>
      </c>
      <c r="Q153" s="18">
        <v>46155</v>
      </c>
      <c r="R153" s="19">
        <f ca="1">Table13[[#This Row],[Column1]]-TODAY()</f>
        <v>-94</v>
      </c>
    </row>
    <row r="154" spans="1:18">
      <c r="A154" s="7" t="s">
        <v>385</v>
      </c>
      <c r="B154" s="1" t="s">
        <v>386</v>
      </c>
      <c r="C154" s="1">
        <v>9</v>
      </c>
      <c r="D154" s="1" t="s">
        <v>14</v>
      </c>
      <c r="E154" s="1" t="s">
        <v>15</v>
      </c>
      <c r="F154" s="1">
        <v>9</v>
      </c>
      <c r="G154" s="1" t="s">
        <v>16</v>
      </c>
      <c r="H154" s="1" t="s">
        <v>17</v>
      </c>
      <c r="I154" s="1" t="s">
        <v>15</v>
      </c>
      <c r="J154" s="1" t="s">
        <v>15</v>
      </c>
      <c r="K154" s="1">
        <v>58838.333333330003</v>
      </c>
      <c r="L154" s="2">
        <v>529545</v>
      </c>
      <c r="M154" s="5" t="s">
        <v>454</v>
      </c>
      <c r="N154" s="8" t="s">
        <v>516</v>
      </c>
      <c r="O154" s="8" t="s">
        <v>460</v>
      </c>
      <c r="P154" s="1" t="str">
        <f t="shared" si="2"/>
        <v>13/05/2026</v>
      </c>
      <c r="Q154" s="18">
        <v>46155</v>
      </c>
      <c r="R154" s="19">
        <f ca="1">Table13[[#This Row],[Column1]]-TODAY()</f>
        <v>-94</v>
      </c>
    </row>
    <row r="155" spans="1:18">
      <c r="A155" s="7" t="s">
        <v>387</v>
      </c>
      <c r="B155" s="1" t="s">
        <v>338</v>
      </c>
      <c r="C155" s="1">
        <v>6</v>
      </c>
      <c r="D155" s="1" t="s">
        <v>14</v>
      </c>
      <c r="E155" s="1" t="s">
        <v>15</v>
      </c>
      <c r="F155" s="1">
        <v>6</v>
      </c>
      <c r="G155" s="1" t="s">
        <v>16</v>
      </c>
      <c r="H155" s="1" t="s">
        <v>312</v>
      </c>
      <c r="I155" s="1" t="s">
        <v>15</v>
      </c>
      <c r="J155" s="1" t="s">
        <v>15</v>
      </c>
      <c r="K155" s="1">
        <v>35344.333333330003</v>
      </c>
      <c r="L155" s="2">
        <v>212066</v>
      </c>
      <c r="M155" s="5" t="s">
        <v>454</v>
      </c>
      <c r="N155" s="8" t="s">
        <v>516</v>
      </c>
      <c r="O155" s="8" t="s">
        <v>460</v>
      </c>
      <c r="P155" s="1" t="str">
        <f t="shared" si="2"/>
        <v>13/05/2026</v>
      </c>
      <c r="Q155" s="18">
        <v>46155</v>
      </c>
      <c r="R155" s="19">
        <f ca="1">Table13[[#This Row],[Column1]]-TODAY()</f>
        <v>-94</v>
      </c>
    </row>
    <row r="156" spans="1:18">
      <c r="A156" s="7" t="s">
        <v>388</v>
      </c>
      <c r="B156" s="1" t="s">
        <v>323</v>
      </c>
      <c r="C156" s="1">
        <v>6</v>
      </c>
      <c r="D156" s="1" t="s">
        <v>14</v>
      </c>
      <c r="E156" s="1" t="s">
        <v>15</v>
      </c>
      <c r="F156" s="1">
        <v>6</v>
      </c>
      <c r="G156" s="1" t="s">
        <v>16</v>
      </c>
      <c r="H156" s="1" t="s">
        <v>62</v>
      </c>
      <c r="I156" s="1" t="s">
        <v>15</v>
      </c>
      <c r="J156" s="1" t="s">
        <v>15</v>
      </c>
      <c r="K156" s="1">
        <v>17874.33333333</v>
      </c>
      <c r="L156" s="2">
        <v>107246</v>
      </c>
      <c r="M156" s="5" t="s">
        <v>454</v>
      </c>
      <c r="N156" s="8" t="s">
        <v>516</v>
      </c>
      <c r="O156" s="8" t="s">
        <v>460</v>
      </c>
      <c r="P156" s="1" t="str">
        <f t="shared" si="2"/>
        <v>13/05/2026</v>
      </c>
      <c r="Q156" s="18">
        <v>46155</v>
      </c>
      <c r="R156" s="19">
        <f ca="1">Table13[[#This Row],[Column1]]-TODAY()</f>
        <v>-94</v>
      </c>
    </row>
    <row r="157" spans="1:18">
      <c r="A157" s="7" t="s">
        <v>389</v>
      </c>
      <c r="B157" s="1" t="s">
        <v>323</v>
      </c>
      <c r="C157" s="1">
        <v>6</v>
      </c>
      <c r="D157" s="1" t="s">
        <v>14</v>
      </c>
      <c r="E157" s="1" t="s">
        <v>15</v>
      </c>
      <c r="F157" s="1">
        <v>6</v>
      </c>
      <c r="G157" s="1" t="s">
        <v>16</v>
      </c>
      <c r="H157" s="1" t="s">
        <v>62</v>
      </c>
      <c r="I157" s="1" t="s">
        <v>15</v>
      </c>
      <c r="J157" s="1" t="s">
        <v>15</v>
      </c>
      <c r="K157" s="1">
        <v>18097.5</v>
      </c>
      <c r="L157" s="2">
        <v>108585</v>
      </c>
      <c r="M157" s="5" t="s">
        <v>454</v>
      </c>
      <c r="N157" s="8" t="s">
        <v>516</v>
      </c>
      <c r="O157" s="8" t="s">
        <v>460</v>
      </c>
      <c r="P157" s="1" t="str">
        <f t="shared" si="2"/>
        <v>13/05/2026</v>
      </c>
      <c r="Q157" s="18">
        <v>46155</v>
      </c>
      <c r="R157" s="19">
        <f ca="1">Table13[[#This Row],[Column1]]-TODAY()</f>
        <v>-94</v>
      </c>
    </row>
    <row r="158" spans="1:18">
      <c r="A158" s="7" t="s">
        <v>390</v>
      </c>
      <c r="B158" s="1" t="s">
        <v>391</v>
      </c>
      <c r="C158" s="1">
        <v>4</v>
      </c>
      <c r="D158" s="1" t="s">
        <v>14</v>
      </c>
      <c r="E158" s="1" t="s">
        <v>15</v>
      </c>
      <c r="F158" s="1">
        <v>4</v>
      </c>
      <c r="G158" s="1" t="s">
        <v>16</v>
      </c>
      <c r="H158" s="1" t="s">
        <v>62</v>
      </c>
      <c r="I158" s="1" t="s">
        <v>15</v>
      </c>
      <c r="J158" s="1" t="s">
        <v>15</v>
      </c>
      <c r="K158" s="1">
        <v>17713.75</v>
      </c>
      <c r="L158" s="2">
        <v>70855</v>
      </c>
      <c r="M158" s="5" t="s">
        <v>454</v>
      </c>
      <c r="N158" s="8" t="s">
        <v>516</v>
      </c>
      <c r="O158" s="8" t="s">
        <v>460</v>
      </c>
      <c r="P158" s="1" t="str">
        <f t="shared" si="2"/>
        <v>13/05/2026</v>
      </c>
      <c r="Q158" s="18">
        <v>46155</v>
      </c>
      <c r="R158" s="19">
        <f ca="1">Table13[[#This Row],[Column1]]-TODAY()</f>
        <v>-94</v>
      </c>
    </row>
    <row r="159" spans="1:18">
      <c r="A159" s="7" t="s">
        <v>395</v>
      </c>
      <c r="B159" s="1" t="s">
        <v>396</v>
      </c>
      <c r="C159" s="1">
        <v>4</v>
      </c>
      <c r="D159" s="1" t="s">
        <v>14</v>
      </c>
      <c r="E159" s="1" t="s">
        <v>15</v>
      </c>
      <c r="F159" s="1">
        <v>4</v>
      </c>
      <c r="G159" s="1" t="s">
        <v>16</v>
      </c>
      <c r="H159" s="1" t="s">
        <v>312</v>
      </c>
      <c r="I159" s="1" t="s">
        <v>15</v>
      </c>
      <c r="J159" s="1" t="s">
        <v>15</v>
      </c>
      <c r="K159" s="1">
        <v>54302.75</v>
      </c>
      <c r="L159" s="2">
        <v>217211</v>
      </c>
      <c r="M159" s="5" t="s">
        <v>454</v>
      </c>
      <c r="N159" s="8" t="s">
        <v>516</v>
      </c>
      <c r="O159" s="8" t="s">
        <v>460</v>
      </c>
      <c r="P159" s="1" t="str">
        <f t="shared" si="2"/>
        <v>13/05/2026</v>
      </c>
      <c r="Q159" s="18">
        <v>46155</v>
      </c>
      <c r="R159" s="19">
        <f ca="1">Table13[[#This Row],[Column1]]-TODAY()</f>
        <v>-94</v>
      </c>
    </row>
    <row r="160" spans="1:18">
      <c r="A160" s="7" t="s">
        <v>397</v>
      </c>
      <c r="B160" s="1" t="s">
        <v>350</v>
      </c>
      <c r="C160" s="1">
        <v>4</v>
      </c>
      <c r="D160" s="1" t="s">
        <v>14</v>
      </c>
      <c r="E160" s="1" t="s">
        <v>15</v>
      </c>
      <c r="F160" s="1">
        <v>4</v>
      </c>
      <c r="G160" s="1" t="s">
        <v>16</v>
      </c>
      <c r="H160" s="1" t="s">
        <v>62</v>
      </c>
      <c r="I160" s="1" t="s">
        <v>15</v>
      </c>
      <c r="J160" s="1" t="s">
        <v>15</v>
      </c>
      <c r="K160" s="1">
        <v>51342.5</v>
      </c>
      <c r="L160" s="2">
        <v>205370</v>
      </c>
      <c r="M160" s="5" t="s">
        <v>454</v>
      </c>
      <c r="N160" s="8" t="s">
        <v>516</v>
      </c>
      <c r="O160" s="8" t="s">
        <v>460</v>
      </c>
      <c r="P160" s="1" t="str">
        <f t="shared" si="2"/>
        <v>13/05/2026</v>
      </c>
      <c r="Q160" s="18">
        <v>46155</v>
      </c>
      <c r="R160" s="19">
        <f ca="1">Table13[[#This Row],[Column1]]-TODAY()</f>
        <v>-94</v>
      </c>
    </row>
    <row r="161" spans="1:18">
      <c r="A161" s="7" t="s">
        <v>398</v>
      </c>
      <c r="B161" s="1" t="s">
        <v>302</v>
      </c>
      <c r="C161" s="1">
        <v>9</v>
      </c>
      <c r="D161" s="1" t="s">
        <v>14</v>
      </c>
      <c r="E161" s="1" t="s">
        <v>15</v>
      </c>
      <c r="F161" s="1">
        <v>9</v>
      </c>
      <c r="G161" s="1" t="s">
        <v>16</v>
      </c>
      <c r="H161" s="1" t="s">
        <v>62</v>
      </c>
      <c r="I161" s="1" t="s">
        <v>15</v>
      </c>
      <c r="J161" s="1" t="s">
        <v>15</v>
      </c>
      <c r="K161" s="1">
        <v>29245</v>
      </c>
      <c r="L161" s="2">
        <v>263205</v>
      </c>
      <c r="M161" s="5" t="s">
        <v>454</v>
      </c>
      <c r="N161" s="8" t="s">
        <v>516</v>
      </c>
      <c r="O161" s="8" t="s">
        <v>460</v>
      </c>
      <c r="P161" s="1" t="str">
        <f t="shared" si="2"/>
        <v>13/05/2026</v>
      </c>
      <c r="Q161" s="18">
        <v>46155</v>
      </c>
      <c r="R161" s="19">
        <f ca="1">Table13[[#This Row],[Column1]]-TODAY()</f>
        <v>-94</v>
      </c>
    </row>
    <row r="162" spans="1:18">
      <c r="A162" s="7" t="s">
        <v>399</v>
      </c>
      <c r="B162" s="1" t="s">
        <v>400</v>
      </c>
      <c r="C162" s="1">
        <v>6</v>
      </c>
      <c r="D162" s="1" t="s">
        <v>14</v>
      </c>
      <c r="E162" s="1" t="s">
        <v>15</v>
      </c>
      <c r="F162" s="1">
        <v>6</v>
      </c>
      <c r="G162" s="1" t="s">
        <v>16</v>
      </c>
      <c r="H162" s="1" t="s">
        <v>62</v>
      </c>
      <c r="I162" s="1" t="s">
        <v>15</v>
      </c>
      <c r="J162" s="1" t="s">
        <v>15</v>
      </c>
      <c r="K162" s="1">
        <v>32609.16666667</v>
      </c>
      <c r="L162" s="2">
        <v>195655</v>
      </c>
      <c r="M162" s="5" t="s">
        <v>454</v>
      </c>
      <c r="N162" s="8" t="s">
        <v>516</v>
      </c>
      <c r="O162" s="8" t="s">
        <v>460</v>
      </c>
      <c r="P162" s="1" t="str">
        <f t="shared" si="2"/>
        <v>13/05/2026</v>
      </c>
      <c r="Q162" s="18">
        <v>46155</v>
      </c>
      <c r="R162" s="19">
        <f ca="1">Table13[[#This Row],[Column1]]-TODAY()</f>
        <v>-94</v>
      </c>
    </row>
    <row r="163" spans="1:18">
      <c r="A163" s="7" t="s">
        <v>403</v>
      </c>
      <c r="B163" s="1" t="s">
        <v>404</v>
      </c>
      <c r="C163" s="1">
        <v>5</v>
      </c>
      <c r="D163" s="1" t="s">
        <v>14</v>
      </c>
      <c r="E163" s="1" t="s">
        <v>15</v>
      </c>
      <c r="F163" s="1">
        <v>5</v>
      </c>
      <c r="G163" s="1" t="s">
        <v>16</v>
      </c>
      <c r="H163" s="1" t="s">
        <v>26</v>
      </c>
      <c r="I163" s="1" t="s">
        <v>15</v>
      </c>
      <c r="J163" s="1" t="s">
        <v>15</v>
      </c>
      <c r="K163" s="1">
        <v>51984</v>
      </c>
      <c r="L163" s="2">
        <v>259920</v>
      </c>
      <c r="M163" s="5" t="s">
        <v>454</v>
      </c>
      <c r="N163" s="8" t="s">
        <v>516</v>
      </c>
      <c r="O163" s="8" t="s">
        <v>460</v>
      </c>
      <c r="P163" s="1" t="str">
        <f t="shared" si="2"/>
        <v>13/05/2026</v>
      </c>
      <c r="Q163" s="18">
        <v>46155</v>
      </c>
      <c r="R163" s="19">
        <f ca="1">Table13[[#This Row],[Column1]]-TODAY()</f>
        <v>-94</v>
      </c>
    </row>
    <row r="164" spans="1:18">
      <c r="A164" s="7" t="s">
        <v>405</v>
      </c>
      <c r="B164" s="1" t="s">
        <v>406</v>
      </c>
      <c r="C164" s="1">
        <v>9</v>
      </c>
      <c r="D164" s="1" t="s">
        <v>14</v>
      </c>
      <c r="E164" s="1" t="s">
        <v>15</v>
      </c>
      <c r="F164" s="1">
        <v>9</v>
      </c>
      <c r="G164" s="1" t="s">
        <v>16</v>
      </c>
      <c r="H164" s="1" t="s">
        <v>17</v>
      </c>
      <c r="I164" s="1" t="s">
        <v>15</v>
      </c>
      <c r="J164" s="1" t="s">
        <v>15</v>
      </c>
      <c r="K164" s="1">
        <v>26040</v>
      </c>
      <c r="L164" s="2">
        <v>234360</v>
      </c>
      <c r="M164" s="5" t="s">
        <v>454</v>
      </c>
      <c r="N164" s="8" t="s">
        <v>516</v>
      </c>
      <c r="O164" s="8" t="s">
        <v>460</v>
      </c>
      <c r="P164" s="1" t="str">
        <f t="shared" si="2"/>
        <v>13/05/2026</v>
      </c>
      <c r="Q164" s="18">
        <v>46155</v>
      </c>
      <c r="R164" s="19">
        <f ca="1">Table13[[#This Row],[Column1]]-TODAY()</f>
        <v>-94</v>
      </c>
    </row>
    <row r="165" spans="1:18">
      <c r="A165" s="7" t="s">
        <v>407</v>
      </c>
      <c r="B165" s="1" t="s">
        <v>302</v>
      </c>
      <c r="C165" s="1">
        <v>5</v>
      </c>
      <c r="D165" s="1" t="s">
        <v>14</v>
      </c>
      <c r="E165" s="1" t="s">
        <v>15</v>
      </c>
      <c r="F165" s="1">
        <v>5</v>
      </c>
      <c r="G165" s="1" t="s">
        <v>16</v>
      </c>
      <c r="H165" s="1" t="s">
        <v>62</v>
      </c>
      <c r="I165" s="1" t="s">
        <v>15</v>
      </c>
      <c r="J165" s="1" t="s">
        <v>15</v>
      </c>
      <c r="K165" s="1">
        <v>13300.8</v>
      </c>
      <c r="L165" s="2">
        <v>66504</v>
      </c>
      <c r="M165" s="5" t="s">
        <v>454</v>
      </c>
      <c r="N165" s="8" t="s">
        <v>516</v>
      </c>
      <c r="O165" s="8" t="s">
        <v>460</v>
      </c>
      <c r="P165" s="1" t="str">
        <f t="shared" si="2"/>
        <v>13/05/2026</v>
      </c>
      <c r="Q165" s="18">
        <v>46155</v>
      </c>
      <c r="R165" s="19">
        <f ca="1">Table13[[#This Row],[Column1]]-TODAY()</f>
        <v>-94</v>
      </c>
    </row>
    <row r="166" spans="1:18">
      <c r="A166" s="7" t="s">
        <v>410</v>
      </c>
      <c r="B166" s="1" t="s">
        <v>411</v>
      </c>
      <c r="C166" s="1">
        <v>5</v>
      </c>
      <c r="D166" s="1" t="s">
        <v>14</v>
      </c>
      <c r="E166" s="1" t="s">
        <v>15</v>
      </c>
      <c r="F166" s="1">
        <v>5</v>
      </c>
      <c r="G166" s="1" t="s">
        <v>16</v>
      </c>
      <c r="H166" s="1" t="s">
        <v>101</v>
      </c>
      <c r="I166" s="1" t="s">
        <v>15</v>
      </c>
      <c r="J166" s="1" t="s">
        <v>15</v>
      </c>
      <c r="K166" s="1">
        <v>27179.8</v>
      </c>
      <c r="L166" s="2">
        <v>135899</v>
      </c>
      <c r="M166" s="5" t="s">
        <v>454</v>
      </c>
      <c r="N166" s="8" t="s">
        <v>516</v>
      </c>
      <c r="O166" s="8" t="s">
        <v>460</v>
      </c>
      <c r="P166" s="1" t="str">
        <f t="shared" si="2"/>
        <v>13/05/2026</v>
      </c>
      <c r="Q166" s="18">
        <v>46155</v>
      </c>
      <c r="R166" s="19">
        <f ca="1">Table13[[#This Row],[Column1]]-TODAY()</f>
        <v>-94</v>
      </c>
    </row>
    <row r="167" spans="1:18">
      <c r="A167" s="7" t="s">
        <v>412</v>
      </c>
      <c r="B167" s="1" t="s">
        <v>302</v>
      </c>
      <c r="C167" s="1">
        <v>9</v>
      </c>
      <c r="D167" s="1" t="s">
        <v>14</v>
      </c>
      <c r="E167" s="1" t="s">
        <v>15</v>
      </c>
      <c r="F167" s="1">
        <v>9</v>
      </c>
      <c r="G167" s="1" t="s">
        <v>16</v>
      </c>
      <c r="H167" s="1" t="s">
        <v>62</v>
      </c>
      <c r="I167" s="1" t="s">
        <v>15</v>
      </c>
      <c r="J167" s="1" t="s">
        <v>15</v>
      </c>
      <c r="K167" s="1">
        <v>18499.88888889</v>
      </c>
      <c r="L167" s="2">
        <v>166499</v>
      </c>
      <c r="M167" s="5" t="s">
        <v>454</v>
      </c>
      <c r="N167" s="8" t="s">
        <v>516</v>
      </c>
      <c r="O167" s="8" t="s">
        <v>460</v>
      </c>
      <c r="P167" s="1" t="str">
        <f t="shared" si="2"/>
        <v>13/05/2026</v>
      </c>
      <c r="Q167" s="18">
        <v>46155</v>
      </c>
      <c r="R167" s="19">
        <f ca="1">Table13[[#This Row],[Column1]]-TODAY()</f>
        <v>-94</v>
      </c>
    </row>
    <row r="168" spans="1:18">
      <c r="A168" s="7" t="s">
        <v>413</v>
      </c>
      <c r="B168" s="1" t="s">
        <v>414</v>
      </c>
      <c r="C168" s="1">
        <v>9</v>
      </c>
      <c r="D168" s="1" t="s">
        <v>14</v>
      </c>
      <c r="E168" s="1" t="s">
        <v>15</v>
      </c>
      <c r="F168" s="1">
        <v>9</v>
      </c>
      <c r="G168" s="1" t="s">
        <v>16</v>
      </c>
      <c r="H168" s="1" t="s">
        <v>62</v>
      </c>
      <c r="I168" s="1" t="s">
        <v>15</v>
      </c>
      <c r="J168" s="1" t="s">
        <v>15</v>
      </c>
      <c r="K168" s="1">
        <v>61101.666666669997</v>
      </c>
      <c r="L168" s="2">
        <v>549915</v>
      </c>
      <c r="M168" s="5" t="s">
        <v>454</v>
      </c>
      <c r="N168" s="8" t="s">
        <v>516</v>
      </c>
      <c r="O168" s="8" t="s">
        <v>460</v>
      </c>
      <c r="P168" s="1" t="str">
        <f t="shared" si="2"/>
        <v>13/05/2026</v>
      </c>
      <c r="Q168" s="18">
        <v>46155</v>
      </c>
      <c r="R168" s="19">
        <f ca="1">Table13[[#This Row],[Column1]]-TODAY()</f>
        <v>-94</v>
      </c>
    </row>
    <row r="169" spans="1:18">
      <c r="A169" s="7" t="s">
        <v>415</v>
      </c>
      <c r="B169" s="1" t="s">
        <v>416</v>
      </c>
      <c r="C169" s="1">
        <v>6</v>
      </c>
      <c r="D169" s="1" t="s">
        <v>14</v>
      </c>
      <c r="E169" s="1" t="s">
        <v>15</v>
      </c>
      <c r="F169" s="1">
        <v>6</v>
      </c>
      <c r="G169" s="1" t="s">
        <v>16</v>
      </c>
      <c r="H169" s="1" t="s">
        <v>312</v>
      </c>
      <c r="I169" s="1" t="s">
        <v>15</v>
      </c>
      <c r="J169" s="1" t="s">
        <v>15</v>
      </c>
      <c r="K169" s="1">
        <v>18629.5</v>
      </c>
      <c r="L169" s="2">
        <v>111777</v>
      </c>
      <c r="M169" s="5" t="s">
        <v>454</v>
      </c>
      <c r="N169" s="8" t="s">
        <v>516</v>
      </c>
      <c r="O169" s="8" t="s">
        <v>460</v>
      </c>
      <c r="P169" s="1" t="str">
        <f t="shared" si="2"/>
        <v>13/05/2026</v>
      </c>
      <c r="Q169" s="18">
        <v>46155</v>
      </c>
      <c r="R169" s="19">
        <f ca="1">Table13[[#This Row],[Column1]]-TODAY()</f>
        <v>-94</v>
      </c>
    </row>
    <row r="170" spans="1:18">
      <c r="A170" s="7" t="s">
        <v>417</v>
      </c>
      <c r="B170" s="1" t="s">
        <v>314</v>
      </c>
      <c r="C170" s="1">
        <v>3</v>
      </c>
      <c r="D170" s="1" t="s">
        <v>14</v>
      </c>
      <c r="E170" s="1" t="s">
        <v>15</v>
      </c>
      <c r="F170" s="1">
        <v>3</v>
      </c>
      <c r="G170" s="1" t="s">
        <v>16</v>
      </c>
      <c r="H170" s="1" t="s">
        <v>62</v>
      </c>
      <c r="I170" s="1" t="s">
        <v>15</v>
      </c>
      <c r="J170" s="1" t="s">
        <v>15</v>
      </c>
      <c r="K170" s="1">
        <v>10769</v>
      </c>
      <c r="L170" s="2">
        <v>32307</v>
      </c>
      <c r="M170" s="5" t="s">
        <v>454</v>
      </c>
      <c r="N170" s="8" t="s">
        <v>516</v>
      </c>
      <c r="O170" s="8" t="s">
        <v>460</v>
      </c>
      <c r="P170" s="1" t="str">
        <f t="shared" si="2"/>
        <v>13/05/2026</v>
      </c>
      <c r="Q170" s="18">
        <v>46155</v>
      </c>
      <c r="R170" s="19">
        <f ca="1">Table13[[#This Row],[Column1]]-TODAY()</f>
        <v>-94</v>
      </c>
    </row>
    <row r="171" spans="1:18">
      <c r="A171" s="7" t="s">
        <v>418</v>
      </c>
      <c r="B171" s="1" t="s">
        <v>419</v>
      </c>
      <c r="C171" s="1">
        <v>4</v>
      </c>
      <c r="D171" s="1" t="s">
        <v>14</v>
      </c>
      <c r="E171" s="1" t="s">
        <v>15</v>
      </c>
      <c r="F171" s="1">
        <v>4</v>
      </c>
      <c r="G171" s="1" t="s">
        <v>16</v>
      </c>
      <c r="H171" s="1" t="s">
        <v>23</v>
      </c>
      <c r="I171" s="1" t="s">
        <v>15</v>
      </c>
      <c r="J171" s="1" t="s">
        <v>15</v>
      </c>
      <c r="K171" s="1">
        <v>54008</v>
      </c>
      <c r="L171" s="2">
        <v>216032</v>
      </c>
      <c r="M171" s="5" t="s">
        <v>454</v>
      </c>
      <c r="N171" s="8" t="s">
        <v>516</v>
      </c>
      <c r="O171" s="8" t="s">
        <v>460</v>
      </c>
      <c r="P171" s="1" t="str">
        <f t="shared" si="2"/>
        <v>13/05/2026</v>
      </c>
      <c r="Q171" s="18">
        <v>46155</v>
      </c>
      <c r="R171" s="19">
        <f ca="1">Table13[[#This Row],[Column1]]-TODAY()</f>
        <v>-94</v>
      </c>
    </row>
    <row r="172" spans="1:18">
      <c r="A172" s="7" t="s">
        <v>420</v>
      </c>
      <c r="B172" s="1" t="s">
        <v>421</v>
      </c>
      <c r="C172" s="1">
        <v>8</v>
      </c>
      <c r="D172" s="1" t="s">
        <v>14</v>
      </c>
      <c r="E172" s="1" t="s">
        <v>15</v>
      </c>
      <c r="F172" s="1">
        <v>8</v>
      </c>
      <c r="G172" s="1" t="s">
        <v>422</v>
      </c>
      <c r="H172" s="1" t="s">
        <v>30</v>
      </c>
      <c r="I172" s="1" t="s">
        <v>15</v>
      </c>
      <c r="J172" s="1" t="s">
        <v>15</v>
      </c>
      <c r="K172" s="1">
        <v>131083.75</v>
      </c>
      <c r="L172" s="2">
        <v>1048670</v>
      </c>
      <c r="M172" s="5" t="s">
        <v>454</v>
      </c>
      <c r="N172" s="8" t="s">
        <v>516</v>
      </c>
      <c r="O172" s="8" t="s">
        <v>460</v>
      </c>
      <c r="P172" s="1" t="str">
        <f t="shared" si="2"/>
        <v>13/05/2026</v>
      </c>
      <c r="Q172" s="18">
        <v>46155</v>
      </c>
      <c r="R172" s="19">
        <f ca="1">Table13[[#This Row],[Column1]]-TODAY()</f>
        <v>-94</v>
      </c>
    </row>
    <row r="173" spans="1:18">
      <c r="A173" s="7" t="s">
        <v>424</v>
      </c>
      <c r="B173" s="1" t="s">
        <v>425</v>
      </c>
      <c r="C173" s="1">
        <v>140</v>
      </c>
      <c r="D173" s="1" t="s">
        <v>14</v>
      </c>
      <c r="E173" s="1" t="s">
        <v>15</v>
      </c>
      <c r="F173" s="1">
        <v>140</v>
      </c>
      <c r="G173" s="1" t="s">
        <v>184</v>
      </c>
      <c r="H173" s="1" t="s">
        <v>30</v>
      </c>
      <c r="I173" s="1" t="s">
        <v>15</v>
      </c>
      <c r="J173" s="1" t="s">
        <v>15</v>
      </c>
      <c r="K173" s="1">
        <v>74705.085714290006</v>
      </c>
      <c r="L173" s="2">
        <v>10458712</v>
      </c>
      <c r="M173" s="5" t="s">
        <v>454</v>
      </c>
      <c r="N173" s="8" t="s">
        <v>516</v>
      </c>
      <c r="O173" s="8" t="s">
        <v>460</v>
      </c>
      <c r="P173" s="1" t="str">
        <f t="shared" si="2"/>
        <v>13/05/2026</v>
      </c>
      <c r="Q173" s="18">
        <v>46155</v>
      </c>
      <c r="R173" s="19">
        <f ca="1">Table13[[#This Row],[Column1]]-TODAY()</f>
        <v>-94</v>
      </c>
    </row>
    <row r="174" spans="1:18">
      <c r="A174" s="7" t="s">
        <v>426</v>
      </c>
      <c r="B174" s="1" t="s">
        <v>427</v>
      </c>
      <c r="C174" s="1">
        <v>5</v>
      </c>
      <c r="D174" s="1" t="s">
        <v>14</v>
      </c>
      <c r="E174" s="1" t="s">
        <v>15</v>
      </c>
      <c r="F174" s="1">
        <v>5</v>
      </c>
      <c r="G174" s="1" t="s">
        <v>16</v>
      </c>
      <c r="H174" s="1" t="s">
        <v>26</v>
      </c>
      <c r="I174" s="1" t="s">
        <v>15</v>
      </c>
      <c r="J174" s="1" t="s">
        <v>15</v>
      </c>
      <c r="K174" s="1">
        <v>13306.6</v>
      </c>
      <c r="L174" s="2">
        <v>66533</v>
      </c>
      <c r="M174" s="5" t="s">
        <v>454</v>
      </c>
      <c r="N174" s="8" t="s">
        <v>516</v>
      </c>
      <c r="O174" s="8" t="s">
        <v>460</v>
      </c>
      <c r="P174" s="1" t="str">
        <f t="shared" si="2"/>
        <v>13/05/2026</v>
      </c>
      <c r="Q174" s="18">
        <v>46155</v>
      </c>
      <c r="R174" s="19">
        <f ca="1">Table13[[#This Row],[Column1]]-TODAY()</f>
        <v>-94</v>
      </c>
    </row>
    <row r="175" spans="1:18">
      <c r="A175" s="6" t="s">
        <v>428</v>
      </c>
      <c r="B175" s="1" t="s">
        <v>429</v>
      </c>
      <c r="C175" s="1">
        <v>81.150000000000006</v>
      </c>
      <c r="D175" s="1" t="s">
        <v>14</v>
      </c>
      <c r="E175" s="1" t="s">
        <v>15</v>
      </c>
      <c r="F175" s="1">
        <v>81.150000000000006</v>
      </c>
      <c r="G175" s="1" t="s">
        <v>180</v>
      </c>
      <c r="H175" s="1" t="s">
        <v>30</v>
      </c>
      <c r="I175" s="1" t="s">
        <v>15</v>
      </c>
      <c r="J175" s="1" t="s">
        <v>15</v>
      </c>
      <c r="K175" s="1">
        <v>185857.70794823999</v>
      </c>
      <c r="L175" s="2">
        <v>15082353</v>
      </c>
      <c r="M175" s="5" t="s">
        <v>461</v>
      </c>
      <c r="N175" s="8" t="s">
        <v>516</v>
      </c>
      <c r="O175" s="8" t="s">
        <v>460</v>
      </c>
      <c r="P175" s="1" t="str">
        <f t="shared" si="2"/>
        <v>13/05/2026</v>
      </c>
      <c r="Q175" s="18">
        <v>46155</v>
      </c>
      <c r="R175" s="19">
        <f ca="1">Table13[[#This Row],[Column1]]-TODAY()</f>
        <v>-94</v>
      </c>
    </row>
    <row r="176" spans="1:18">
      <c r="A176" s="7" t="s">
        <v>430</v>
      </c>
      <c r="B176" s="1" t="s">
        <v>431</v>
      </c>
      <c r="C176" s="1">
        <v>87.797849999999997</v>
      </c>
      <c r="D176" s="1" t="s">
        <v>14</v>
      </c>
      <c r="E176" s="1" t="s">
        <v>15</v>
      </c>
      <c r="F176" s="1">
        <v>87.797849999999997</v>
      </c>
      <c r="G176" s="1" t="s">
        <v>180</v>
      </c>
      <c r="H176" s="1" t="s">
        <v>133</v>
      </c>
      <c r="I176" s="1" t="s">
        <v>15</v>
      </c>
      <c r="J176" s="1" t="s">
        <v>15</v>
      </c>
      <c r="K176" s="1">
        <v>206196.18646102</v>
      </c>
      <c r="L176" s="2">
        <v>18103582</v>
      </c>
      <c r="M176" s="5" t="s">
        <v>461</v>
      </c>
      <c r="N176" s="8" t="s">
        <v>516</v>
      </c>
      <c r="O176" s="8" t="s">
        <v>460</v>
      </c>
      <c r="P176" s="1" t="str">
        <f t="shared" si="2"/>
        <v>13/05/2026</v>
      </c>
      <c r="Q176" s="18">
        <v>46155</v>
      </c>
      <c r="R176" s="19">
        <f ca="1">Table13[[#This Row],[Column1]]-TODAY()</f>
        <v>-94</v>
      </c>
    </row>
    <row r="177" spans="1:18">
      <c r="A177" s="7" t="s">
        <v>440</v>
      </c>
      <c r="B177" s="1" t="s">
        <v>441</v>
      </c>
      <c r="C177" s="1">
        <v>2</v>
      </c>
      <c r="D177" s="1" t="s">
        <v>14</v>
      </c>
      <c r="E177" s="1" t="s">
        <v>15</v>
      </c>
      <c r="F177" s="1">
        <v>2</v>
      </c>
      <c r="G177" s="1" t="s">
        <v>16</v>
      </c>
      <c r="H177" s="1" t="s">
        <v>442</v>
      </c>
      <c r="I177" s="1" t="s">
        <v>15</v>
      </c>
      <c r="J177" s="1" t="s">
        <v>15</v>
      </c>
      <c r="K177" s="1">
        <v>15393.5</v>
      </c>
      <c r="L177" s="2">
        <v>30787</v>
      </c>
      <c r="M177" s="5" t="s">
        <v>454</v>
      </c>
      <c r="N177" s="8" t="s">
        <v>516</v>
      </c>
      <c r="O177" s="8" t="s">
        <v>460</v>
      </c>
      <c r="P177" s="1" t="str">
        <f t="shared" si="2"/>
        <v>13/05/2026</v>
      </c>
      <c r="Q177" s="18">
        <v>46155</v>
      </c>
      <c r="R177" s="19">
        <f ca="1">Table13[[#This Row],[Column1]]-TODAY()</f>
        <v>-94</v>
      </c>
    </row>
    <row r="178" spans="1:18">
      <c r="A178" s="7" t="s">
        <v>443</v>
      </c>
      <c r="B178" s="1" t="s">
        <v>444</v>
      </c>
      <c r="C178" s="1">
        <v>10</v>
      </c>
      <c r="D178" s="1" t="s">
        <v>14</v>
      </c>
      <c r="E178" s="1" t="s">
        <v>15</v>
      </c>
      <c r="F178" s="1">
        <v>10</v>
      </c>
      <c r="G178" s="1" t="s">
        <v>445</v>
      </c>
      <c r="H178" s="1" t="s">
        <v>445</v>
      </c>
      <c r="I178" s="1" t="s">
        <v>15</v>
      </c>
      <c r="J178" s="1" t="s">
        <v>15</v>
      </c>
      <c r="K178" s="1">
        <v>920</v>
      </c>
      <c r="L178" s="2">
        <v>9200</v>
      </c>
      <c r="M178" s="5" t="s">
        <v>454</v>
      </c>
      <c r="N178" s="8" t="s">
        <v>516</v>
      </c>
      <c r="O178" s="8" t="s">
        <v>460</v>
      </c>
      <c r="P178" s="1" t="str">
        <f t="shared" si="2"/>
        <v>13/05/2026</v>
      </c>
      <c r="Q178" s="18">
        <v>46155</v>
      </c>
      <c r="R178" s="19">
        <f ca="1">Table13[[#This Row],[Column1]]-TODAY()</f>
        <v>-94</v>
      </c>
    </row>
    <row r="179" spans="1:18">
      <c r="A179" s="7" t="s">
        <v>281</v>
      </c>
      <c r="B179" s="1" t="s">
        <v>282</v>
      </c>
      <c r="C179" s="1">
        <v>14</v>
      </c>
      <c r="D179" s="1" t="s">
        <v>14</v>
      </c>
      <c r="E179" s="1" t="s">
        <v>15</v>
      </c>
      <c r="F179" s="2">
        <v>14</v>
      </c>
      <c r="G179" s="1" t="s">
        <v>88</v>
      </c>
      <c r="H179" s="1" t="s">
        <v>30</v>
      </c>
      <c r="I179" s="1" t="s">
        <v>15</v>
      </c>
      <c r="J179" s="1" t="s">
        <v>15</v>
      </c>
      <c r="K179" s="1">
        <v>497000</v>
      </c>
      <c r="L179" s="2">
        <v>6958000</v>
      </c>
      <c r="M179" s="5" t="s">
        <v>450</v>
      </c>
      <c r="N179" s="8" t="s">
        <v>459</v>
      </c>
      <c r="O179" s="8"/>
      <c r="P179" s="22" t="s">
        <v>522</v>
      </c>
      <c r="Q179" s="18">
        <v>46163</v>
      </c>
      <c r="R179" s="19">
        <f ca="1">Table13[[#This Row],[Column1]]-TODAY()</f>
        <v>-86</v>
      </c>
    </row>
    <row r="180" spans="1:18">
      <c r="A180" s="7" t="s">
        <v>409</v>
      </c>
      <c r="B180" s="1" t="s">
        <v>350</v>
      </c>
      <c r="C180" s="1">
        <v>39</v>
      </c>
      <c r="D180" s="1" t="s">
        <v>14</v>
      </c>
      <c r="E180" s="1" t="s">
        <v>15</v>
      </c>
      <c r="F180" s="1">
        <v>39</v>
      </c>
      <c r="G180" s="1" t="s">
        <v>16</v>
      </c>
      <c r="H180" s="1" t="s">
        <v>62</v>
      </c>
      <c r="I180" s="1" t="s">
        <v>15</v>
      </c>
      <c r="J180" s="1" t="s">
        <v>15</v>
      </c>
      <c r="K180" s="1">
        <v>175471.1025641</v>
      </c>
      <c r="L180" s="2">
        <v>6843373</v>
      </c>
      <c r="M180" s="1" t="s">
        <v>466</v>
      </c>
      <c r="N180" s="8" t="s">
        <v>459</v>
      </c>
      <c r="O180" s="8"/>
      <c r="P180" s="1" t="str">
        <f t="shared" si="2"/>
        <v>27/06/2026</v>
      </c>
      <c r="Q180" s="18">
        <v>46200</v>
      </c>
      <c r="R180" s="19">
        <f ca="1">Table13[[#This Row],[Column1]]-TODAY()</f>
        <v>-49</v>
      </c>
    </row>
    <row r="181" spans="1:18">
      <c r="A181" s="7" t="s">
        <v>263</v>
      </c>
      <c r="B181" s="1" t="s">
        <v>264</v>
      </c>
      <c r="C181" s="1">
        <v>404.21800000000002</v>
      </c>
      <c r="D181" s="1" t="s">
        <v>14</v>
      </c>
      <c r="E181" s="1" t="s">
        <v>15</v>
      </c>
      <c r="F181" s="1">
        <v>404.21800000000002</v>
      </c>
      <c r="G181" s="1" t="s">
        <v>260</v>
      </c>
      <c r="H181" s="1" t="s">
        <v>30</v>
      </c>
      <c r="I181" s="1" t="s">
        <v>15</v>
      </c>
      <c r="J181" s="1" t="s">
        <v>15</v>
      </c>
      <c r="K181" s="1">
        <v>123070.73905665</v>
      </c>
      <c r="L181" s="2">
        <v>49747408</v>
      </c>
      <c r="M181" s="5" t="s">
        <v>449</v>
      </c>
      <c r="N181" s="8" t="s">
        <v>462</v>
      </c>
      <c r="O181" s="8" t="s">
        <v>509</v>
      </c>
      <c r="P181" s="1" t="str">
        <f t="shared" si="2"/>
        <v>04/06/2026</v>
      </c>
      <c r="Q181" s="18">
        <v>46177</v>
      </c>
      <c r="R181" s="19">
        <f ca="1">Table13[[#This Row],[Column1]]-TODAY()</f>
        <v>-72</v>
      </c>
    </row>
    <row r="182" spans="1:18">
      <c r="A182" s="7" t="s">
        <v>93</v>
      </c>
      <c r="B182" s="1" t="s">
        <v>94</v>
      </c>
      <c r="C182" s="1">
        <v>2</v>
      </c>
      <c r="D182" s="1" t="s">
        <v>14</v>
      </c>
      <c r="E182" s="1" t="s">
        <v>15</v>
      </c>
      <c r="F182" s="1">
        <v>2</v>
      </c>
      <c r="G182" s="1" t="s">
        <v>91</v>
      </c>
      <c r="H182" s="1" t="s">
        <v>92</v>
      </c>
      <c r="I182" s="1" t="s">
        <v>15</v>
      </c>
      <c r="J182" s="1" t="s">
        <v>15</v>
      </c>
      <c r="K182" s="1">
        <v>3297335.5</v>
      </c>
      <c r="L182" s="2">
        <v>6594671</v>
      </c>
      <c r="M182" s="1" t="s">
        <v>473</v>
      </c>
      <c r="N182" s="8" t="s">
        <v>459</v>
      </c>
      <c r="O182" s="8"/>
      <c r="P182" s="1" t="str">
        <f t="shared" si="2"/>
        <v>11/8/2026</v>
      </c>
      <c r="Q182" s="18">
        <v>46245</v>
      </c>
      <c r="R182" s="19">
        <f ca="1">Table13[[#This Row],[Column1]]-TODAY()</f>
        <v>-4</v>
      </c>
    </row>
    <row r="183" spans="1:18">
      <c r="A183" s="7" t="s">
        <v>203</v>
      </c>
      <c r="B183" s="1" t="s">
        <v>204</v>
      </c>
      <c r="C183" s="1">
        <v>275</v>
      </c>
      <c r="D183" s="1" t="s">
        <v>14</v>
      </c>
      <c r="E183" s="1" t="s">
        <v>15</v>
      </c>
      <c r="F183" s="1">
        <v>275</v>
      </c>
      <c r="G183" s="1" t="s">
        <v>183</v>
      </c>
      <c r="H183" s="1" t="s">
        <v>184</v>
      </c>
      <c r="I183" s="1" t="s">
        <v>15</v>
      </c>
      <c r="J183" s="1" t="s">
        <v>15</v>
      </c>
      <c r="K183" s="1">
        <v>21550.6</v>
      </c>
      <c r="L183" s="2">
        <v>5926415</v>
      </c>
      <c r="M183" s="1" t="s">
        <v>474</v>
      </c>
      <c r="N183" s="8" t="s">
        <v>459</v>
      </c>
      <c r="O183" s="8"/>
      <c r="P183" s="1" t="str">
        <f t="shared" si="2"/>
        <v>23/06/2026</v>
      </c>
      <c r="Q183" s="18">
        <v>46196</v>
      </c>
      <c r="R183" s="19">
        <f ca="1">Table13[[#This Row],[Column1]]-TODAY()</f>
        <v>-53</v>
      </c>
    </row>
    <row r="184" spans="1:18">
      <c r="A184" s="7" t="s">
        <v>269</v>
      </c>
      <c r="B184" s="1" t="s">
        <v>270</v>
      </c>
      <c r="C184" s="1">
        <v>85</v>
      </c>
      <c r="D184" s="1" t="s">
        <v>14</v>
      </c>
      <c r="E184" s="1" t="s">
        <v>15</v>
      </c>
      <c r="F184" s="2">
        <v>85</v>
      </c>
      <c r="G184" s="1" t="s">
        <v>260</v>
      </c>
      <c r="H184" s="1" t="s">
        <v>30</v>
      </c>
      <c r="I184" s="1" t="s">
        <v>15</v>
      </c>
      <c r="J184" s="1" t="s">
        <v>15</v>
      </c>
      <c r="K184" s="1">
        <v>66808.094117650006</v>
      </c>
      <c r="L184" s="2">
        <v>5678688</v>
      </c>
      <c r="M184" s="1" t="s">
        <v>519</v>
      </c>
      <c r="N184" s="8" t="s">
        <v>459</v>
      </c>
      <c r="O184" s="8"/>
      <c r="P184" s="1" t="str">
        <f t="shared" si="2"/>
        <v>23/5/2025</v>
      </c>
      <c r="Q184" s="23">
        <v>46165</v>
      </c>
      <c r="R184" s="19">
        <f ca="1">Table13[[#This Row],[Column1]]-TODAY()</f>
        <v>-84</v>
      </c>
    </row>
    <row r="185" spans="1:18">
      <c r="A185" s="7" t="s">
        <v>252</v>
      </c>
      <c r="B185" s="1" t="s">
        <v>253</v>
      </c>
      <c r="C185" s="1">
        <v>195</v>
      </c>
      <c r="D185" s="1" t="s">
        <v>14</v>
      </c>
      <c r="E185" s="1" t="s">
        <v>15</v>
      </c>
      <c r="F185" s="1">
        <v>195</v>
      </c>
      <c r="G185" s="1" t="s">
        <v>169</v>
      </c>
      <c r="H185" s="1" t="s">
        <v>254</v>
      </c>
      <c r="I185" s="1" t="s">
        <v>15</v>
      </c>
      <c r="J185" s="1" t="s">
        <v>15</v>
      </c>
      <c r="K185" s="1">
        <v>23270.635897439999</v>
      </c>
      <c r="L185" s="2">
        <v>4537774</v>
      </c>
      <c r="M185" s="1" t="s">
        <v>475</v>
      </c>
      <c r="N185" s="8" t="s">
        <v>459</v>
      </c>
      <c r="O185" s="8"/>
      <c r="P185" s="1" t="str">
        <f t="shared" si="2"/>
        <v>23/7/2026</v>
      </c>
      <c r="Q185" s="18">
        <v>46226</v>
      </c>
      <c r="R185" s="19">
        <f ca="1">Table13[[#This Row],[Column1]]-TODAY()</f>
        <v>-23</v>
      </c>
    </row>
    <row r="186" spans="1:18">
      <c r="A186" s="7" t="s">
        <v>53</v>
      </c>
      <c r="B186" s="1" t="s">
        <v>54</v>
      </c>
      <c r="C186" s="1">
        <v>15</v>
      </c>
      <c r="D186" s="1" t="s">
        <v>14</v>
      </c>
      <c r="E186" s="1" t="s">
        <v>15</v>
      </c>
      <c r="F186" s="1">
        <v>15</v>
      </c>
      <c r="G186" s="1" t="s">
        <v>55</v>
      </c>
      <c r="H186" s="1" t="s">
        <v>30</v>
      </c>
      <c r="I186" s="1" t="s">
        <v>15</v>
      </c>
      <c r="J186" s="1" t="s">
        <v>15</v>
      </c>
      <c r="K186" s="1">
        <v>287002.73333333002</v>
      </c>
      <c r="L186" s="2">
        <v>4305041</v>
      </c>
      <c r="M186" s="5" t="s">
        <v>448</v>
      </c>
      <c r="N186" s="8" t="s">
        <v>459</v>
      </c>
      <c r="O186" s="8"/>
      <c r="P186" s="1" t="str">
        <f t="shared" si="2"/>
        <v>05/11/2024</v>
      </c>
      <c r="Q186" s="18">
        <v>45601</v>
      </c>
      <c r="R186" s="19">
        <f ca="1">Table13[[#This Row],[Column1]]-TODAY()</f>
        <v>-648</v>
      </c>
    </row>
    <row r="187" spans="1:18">
      <c r="A187" s="7" t="s">
        <v>56</v>
      </c>
      <c r="B187" s="1" t="s">
        <v>57</v>
      </c>
      <c r="C187" s="1">
        <v>15</v>
      </c>
      <c r="D187" s="1" t="s">
        <v>14</v>
      </c>
      <c r="E187" s="1" t="s">
        <v>15</v>
      </c>
      <c r="F187" s="1">
        <v>15</v>
      </c>
      <c r="G187" s="1" t="s">
        <v>55</v>
      </c>
      <c r="H187" s="1" t="s">
        <v>30</v>
      </c>
      <c r="I187" s="1" t="s">
        <v>15</v>
      </c>
      <c r="J187" s="1" t="s">
        <v>15</v>
      </c>
      <c r="K187" s="1">
        <v>287002.73333333002</v>
      </c>
      <c r="L187" s="2">
        <v>4305041</v>
      </c>
      <c r="M187" s="5" t="s">
        <v>448</v>
      </c>
      <c r="N187" s="8" t="s">
        <v>459</v>
      </c>
      <c r="O187" s="8"/>
      <c r="P187" s="1" t="str">
        <f t="shared" si="2"/>
        <v>05/11/2024</v>
      </c>
      <c r="Q187" s="18">
        <v>45601</v>
      </c>
      <c r="R187" s="19">
        <f ca="1">Table13[[#This Row],[Column1]]-TODAY()</f>
        <v>-648</v>
      </c>
    </row>
    <row r="188" spans="1:18">
      <c r="A188" s="7" t="s">
        <v>125</v>
      </c>
      <c r="B188" s="1" t="s">
        <v>126</v>
      </c>
      <c r="C188" s="1">
        <v>59</v>
      </c>
      <c r="D188" s="1" t="s">
        <v>14</v>
      </c>
      <c r="E188" s="1" t="s">
        <v>15</v>
      </c>
      <c r="F188" s="1">
        <v>59</v>
      </c>
      <c r="G188" s="1" t="s">
        <v>16</v>
      </c>
      <c r="H188" s="1" t="s">
        <v>127</v>
      </c>
      <c r="I188" s="1" t="s">
        <v>15</v>
      </c>
      <c r="J188" s="1" t="s">
        <v>15</v>
      </c>
      <c r="K188" s="1">
        <v>61986.118644069997</v>
      </c>
      <c r="L188" s="2">
        <v>3657181</v>
      </c>
      <c r="M188" s="1" t="s">
        <v>477</v>
      </c>
      <c r="N188" s="8" t="s">
        <v>459</v>
      </c>
      <c r="O188" s="8"/>
      <c r="P188" s="1" t="str">
        <f t="shared" si="2"/>
        <v>19/05/2026</v>
      </c>
      <c r="Q188" s="18">
        <v>46161</v>
      </c>
      <c r="R188" s="19">
        <f ca="1">Table13[[#This Row],[Column1]]-TODAY()</f>
        <v>-88</v>
      </c>
    </row>
    <row r="189" spans="1:18">
      <c r="A189" s="7" t="s">
        <v>89</v>
      </c>
      <c r="B189" s="1" t="s">
        <v>90</v>
      </c>
      <c r="C189" s="1">
        <v>1</v>
      </c>
      <c r="D189" s="1" t="s">
        <v>14</v>
      </c>
      <c r="E189" s="1" t="s">
        <v>15</v>
      </c>
      <c r="F189" s="1">
        <v>1</v>
      </c>
      <c r="G189" s="1" t="s">
        <v>91</v>
      </c>
      <c r="H189" s="1" t="s">
        <v>92</v>
      </c>
      <c r="I189" s="1" t="s">
        <v>15</v>
      </c>
      <c r="J189" s="1" t="s">
        <v>15</v>
      </c>
      <c r="K189" s="1">
        <v>3297166</v>
      </c>
      <c r="L189" s="2">
        <v>3297166</v>
      </c>
      <c r="M189" s="1" t="s">
        <v>473</v>
      </c>
      <c r="N189" s="8" t="s">
        <v>459</v>
      </c>
      <c r="O189" s="8"/>
      <c r="P189" s="1" t="str">
        <f t="shared" si="2"/>
        <v>11/8/2026</v>
      </c>
      <c r="Q189" s="18">
        <v>46245</v>
      </c>
      <c r="R189" s="19">
        <f ca="1">Table13[[#This Row],[Column1]]-TODAY()</f>
        <v>-4</v>
      </c>
    </row>
    <row r="190" spans="1:18">
      <c r="A190" s="7" t="s">
        <v>173</v>
      </c>
      <c r="B190" s="1" t="s">
        <v>171</v>
      </c>
      <c r="C190" s="1">
        <v>72</v>
      </c>
      <c r="D190" s="1" t="s">
        <v>14</v>
      </c>
      <c r="E190" s="1" t="s">
        <v>15</v>
      </c>
      <c r="F190" s="1">
        <v>72</v>
      </c>
      <c r="G190" s="1" t="s">
        <v>88</v>
      </c>
      <c r="H190" s="1" t="s">
        <v>30</v>
      </c>
      <c r="I190" s="1" t="s">
        <v>15</v>
      </c>
      <c r="J190" s="1" t="s">
        <v>15</v>
      </c>
      <c r="K190" s="1">
        <v>31999.375</v>
      </c>
      <c r="L190" s="2">
        <v>2303955</v>
      </c>
      <c r="M190" s="1" t="s">
        <v>478</v>
      </c>
      <c r="N190" s="8" t="s">
        <v>459</v>
      </c>
      <c r="O190" s="8"/>
      <c r="P190" s="1" t="str">
        <f t="shared" si="2"/>
        <v>5/8/2026</v>
      </c>
      <c r="Q190" s="18">
        <v>46239</v>
      </c>
      <c r="R190" s="19">
        <f ca="1">Table13[[#This Row],[Column1]]-TODAY()</f>
        <v>-10</v>
      </c>
    </row>
    <row r="191" spans="1:18">
      <c r="A191" s="7" t="s">
        <v>261</v>
      </c>
      <c r="B191" s="1" t="s">
        <v>262</v>
      </c>
      <c r="C191" s="1">
        <v>27.64198</v>
      </c>
      <c r="D191" s="1" t="s">
        <v>14</v>
      </c>
      <c r="E191" s="1" t="s">
        <v>15</v>
      </c>
      <c r="F191" s="1">
        <v>27.64198</v>
      </c>
      <c r="G191" s="1" t="s">
        <v>260</v>
      </c>
      <c r="H191" s="1" t="s">
        <v>30</v>
      </c>
      <c r="I191" s="1" t="s">
        <v>15</v>
      </c>
      <c r="J191" s="1" t="s">
        <v>15</v>
      </c>
      <c r="K191" s="1">
        <v>79469.601436249999</v>
      </c>
      <c r="L191" s="2">
        <v>2196697</v>
      </c>
      <c r="M191" s="1" t="s">
        <v>479</v>
      </c>
      <c r="N191" s="8" t="s">
        <v>459</v>
      </c>
      <c r="O191" s="8"/>
      <c r="P191" s="1" t="str">
        <f t="shared" si="2"/>
        <v>12/5/2026</v>
      </c>
      <c r="Q191" s="18">
        <v>46154</v>
      </c>
      <c r="R191" s="19">
        <f ca="1">Table13[[#This Row],[Column1]]-TODAY()</f>
        <v>-95</v>
      </c>
    </row>
    <row r="192" spans="1:18">
      <c r="A192" s="7" t="s">
        <v>235</v>
      </c>
      <c r="B192" s="1" t="s">
        <v>236</v>
      </c>
      <c r="C192" s="1">
        <v>2</v>
      </c>
      <c r="D192" s="1" t="s">
        <v>14</v>
      </c>
      <c r="E192" s="1" t="s">
        <v>15</v>
      </c>
      <c r="F192" s="1">
        <v>2</v>
      </c>
      <c r="G192" s="1" t="s">
        <v>237</v>
      </c>
      <c r="H192" s="1" t="s">
        <v>238</v>
      </c>
      <c r="I192" s="1" t="s">
        <v>15</v>
      </c>
      <c r="J192" s="1" t="s">
        <v>15</v>
      </c>
      <c r="K192" s="1">
        <v>1078404.5</v>
      </c>
      <c r="L192" s="2">
        <v>2156809</v>
      </c>
      <c r="M192" s="1" t="s">
        <v>480</v>
      </c>
      <c r="N192" s="8" t="s">
        <v>459</v>
      </c>
      <c r="O192" s="8"/>
      <c r="P192" s="1" t="str">
        <f t="shared" si="2"/>
        <v>02/07/2026</v>
      </c>
      <c r="Q192" s="18">
        <v>46205</v>
      </c>
      <c r="R192" s="19">
        <f ca="1">Table13[[#This Row],[Column1]]-TODAY()</f>
        <v>-44</v>
      </c>
    </row>
    <row r="193" spans="1:18">
      <c r="A193" s="7" t="s">
        <v>279</v>
      </c>
      <c r="B193" s="1" t="s">
        <v>280</v>
      </c>
      <c r="C193" s="1">
        <v>4</v>
      </c>
      <c r="D193" s="1" t="s">
        <v>14</v>
      </c>
      <c r="E193" s="1" t="s">
        <v>15</v>
      </c>
      <c r="F193" s="1">
        <v>4</v>
      </c>
      <c r="G193" s="1" t="s">
        <v>88</v>
      </c>
      <c r="H193" s="1" t="s">
        <v>30</v>
      </c>
      <c r="I193" s="1" t="s">
        <v>15</v>
      </c>
      <c r="J193" s="1" t="s">
        <v>15</v>
      </c>
      <c r="K193" s="1">
        <v>525000</v>
      </c>
      <c r="L193" s="2">
        <v>2100000</v>
      </c>
      <c r="M193" s="1" t="s">
        <v>481</v>
      </c>
      <c r="N193" s="8" t="s">
        <v>459</v>
      </c>
      <c r="O193" s="8"/>
      <c r="P193" s="1" t="str">
        <f t="shared" si="2"/>
        <v>16/07/2026</v>
      </c>
      <c r="Q193" s="18">
        <v>46219</v>
      </c>
      <c r="R193" s="19">
        <f ca="1">Table13[[#This Row],[Column1]]-TODAY()</f>
        <v>-30</v>
      </c>
    </row>
    <row r="194" spans="1:18">
      <c r="A194" s="7" t="s">
        <v>111</v>
      </c>
      <c r="B194" s="1" t="s">
        <v>112</v>
      </c>
      <c r="C194" s="1">
        <v>11</v>
      </c>
      <c r="D194" s="1" t="s">
        <v>14</v>
      </c>
      <c r="E194" s="1" t="s">
        <v>15</v>
      </c>
      <c r="F194" s="1">
        <v>11</v>
      </c>
      <c r="G194" s="1" t="s">
        <v>84</v>
      </c>
      <c r="H194" s="1" t="s">
        <v>113</v>
      </c>
      <c r="I194" s="1" t="s">
        <v>15</v>
      </c>
      <c r="J194" s="1" t="s">
        <v>15</v>
      </c>
      <c r="K194" s="1">
        <v>185415.18181817999</v>
      </c>
      <c r="L194" s="2">
        <v>2039567</v>
      </c>
      <c r="M194" s="1" t="s">
        <v>482</v>
      </c>
      <c r="N194" s="8" t="s">
        <v>459</v>
      </c>
      <c r="O194" s="8"/>
      <c r="P194" s="1" t="str">
        <f t="shared" ref="P194:P218" si="3">LEFT(M194,FIND("_",M194)-1)</f>
        <v>20/7/2026</v>
      </c>
      <c r="Q194" s="18">
        <v>46223</v>
      </c>
      <c r="R194" s="19">
        <f ca="1">Table13[[#This Row],[Column1]]-TODAY()</f>
        <v>-26</v>
      </c>
    </row>
    <row r="195" spans="1:18">
      <c r="A195" s="7" t="s">
        <v>164</v>
      </c>
      <c r="B195" s="1" t="s">
        <v>165</v>
      </c>
      <c r="C195" s="1">
        <v>12</v>
      </c>
      <c r="D195" s="1" t="s">
        <v>14</v>
      </c>
      <c r="E195" s="1" t="s">
        <v>15</v>
      </c>
      <c r="F195" s="1">
        <v>12</v>
      </c>
      <c r="G195" s="1" t="s">
        <v>166</v>
      </c>
      <c r="H195" s="1" t="s">
        <v>30</v>
      </c>
      <c r="I195" s="1" t="s">
        <v>15</v>
      </c>
      <c r="J195" s="1" t="s">
        <v>15</v>
      </c>
      <c r="K195" s="1">
        <v>161307.41666667</v>
      </c>
      <c r="L195" s="2">
        <v>1935689</v>
      </c>
      <c r="M195" s="1" t="s">
        <v>483</v>
      </c>
      <c r="N195" s="8" t="s">
        <v>459</v>
      </c>
      <c r="O195" s="8"/>
      <c r="P195" s="1" t="str">
        <f t="shared" si="3"/>
        <v>31/7/2026</v>
      </c>
      <c r="Q195" s="18">
        <v>46234</v>
      </c>
      <c r="R195" s="19">
        <f ca="1">Table13[[#This Row],[Column1]]-TODAY()</f>
        <v>-15</v>
      </c>
    </row>
    <row r="196" spans="1:18">
      <c r="A196" s="7" t="s">
        <v>24</v>
      </c>
      <c r="B196" s="1" t="s">
        <v>25</v>
      </c>
      <c r="C196" s="1">
        <v>154</v>
      </c>
      <c r="D196" s="1" t="s">
        <v>14</v>
      </c>
      <c r="E196" s="1" t="s">
        <v>15</v>
      </c>
      <c r="F196" s="1">
        <v>154</v>
      </c>
      <c r="G196" s="1" t="s">
        <v>16</v>
      </c>
      <c r="H196" s="1" t="s">
        <v>26</v>
      </c>
      <c r="I196" s="1" t="s">
        <v>15</v>
      </c>
      <c r="J196" s="1" t="s">
        <v>15</v>
      </c>
      <c r="K196" s="1">
        <v>11941.142857139999</v>
      </c>
      <c r="L196" s="2">
        <v>1838936</v>
      </c>
      <c r="M196" s="1" t="s">
        <v>484</v>
      </c>
      <c r="N196" s="8" t="s">
        <v>459</v>
      </c>
      <c r="O196" s="8"/>
      <c r="P196" s="1" t="str">
        <f t="shared" si="3"/>
        <v>04/06/2026</v>
      </c>
      <c r="Q196" s="18">
        <v>46177</v>
      </c>
      <c r="R196" s="19">
        <f ca="1">Table13[[#This Row],[Column1]]-TODAY()</f>
        <v>-72</v>
      </c>
    </row>
    <row r="197" spans="1:18">
      <c r="A197" s="7" t="s">
        <v>432</v>
      </c>
      <c r="B197" s="1" t="s">
        <v>433</v>
      </c>
      <c r="C197" s="1">
        <v>7</v>
      </c>
      <c r="D197" s="1" t="s">
        <v>14</v>
      </c>
      <c r="E197" s="1" t="s">
        <v>15</v>
      </c>
      <c r="F197" s="1">
        <v>7</v>
      </c>
      <c r="G197" s="1" t="s">
        <v>88</v>
      </c>
      <c r="H197" s="1" t="s">
        <v>30</v>
      </c>
      <c r="I197" s="1" t="s">
        <v>15</v>
      </c>
      <c r="J197" s="1" t="s">
        <v>15</v>
      </c>
      <c r="K197" s="1">
        <v>183719.85714286001</v>
      </c>
      <c r="L197" s="2">
        <v>1286039</v>
      </c>
      <c r="M197" s="1" t="s">
        <v>485</v>
      </c>
      <c r="N197" s="8" t="s">
        <v>459</v>
      </c>
      <c r="O197" s="8"/>
      <c r="P197" s="1" t="str">
        <f t="shared" si="3"/>
        <v>4/8/2026</v>
      </c>
      <c r="Q197" s="18">
        <v>46238</v>
      </c>
      <c r="R197" s="19">
        <f ca="1">Table13[[#This Row],[Column1]]-TODAY()</f>
        <v>-11</v>
      </c>
    </row>
    <row r="198" spans="1:18">
      <c r="A198" s="7" t="s">
        <v>392</v>
      </c>
      <c r="B198" s="1" t="s">
        <v>393</v>
      </c>
      <c r="C198" s="1">
        <v>106</v>
      </c>
      <c r="D198" s="1" t="s">
        <v>14</v>
      </c>
      <c r="E198" s="1" t="s">
        <v>15</v>
      </c>
      <c r="F198" s="1">
        <v>106</v>
      </c>
      <c r="G198" s="1" t="s">
        <v>394</v>
      </c>
      <c r="H198" s="1" t="s">
        <v>184</v>
      </c>
      <c r="I198" s="1" t="s">
        <v>15</v>
      </c>
      <c r="J198" s="1" t="s">
        <v>15</v>
      </c>
      <c r="K198" s="1">
        <v>11911.33962264</v>
      </c>
      <c r="L198" s="2">
        <v>1262602</v>
      </c>
      <c r="M198" s="1" t="s">
        <v>486</v>
      </c>
      <c r="N198" s="8" t="s">
        <v>459</v>
      </c>
      <c r="O198" s="8"/>
      <c r="P198" s="1" t="str">
        <f t="shared" si="3"/>
        <v>29/7/2026</v>
      </c>
      <c r="Q198" s="18">
        <v>46232</v>
      </c>
      <c r="R198" s="19">
        <f ca="1">Table13[[#This Row],[Column1]]-TODAY()</f>
        <v>-17</v>
      </c>
    </row>
    <row r="199" spans="1:18">
      <c r="A199" s="7" t="s">
        <v>271</v>
      </c>
      <c r="B199" s="1" t="s">
        <v>272</v>
      </c>
      <c r="C199" s="1">
        <v>33</v>
      </c>
      <c r="D199" s="1" t="s">
        <v>14</v>
      </c>
      <c r="E199" s="1" t="s">
        <v>15</v>
      </c>
      <c r="F199" s="1">
        <v>33</v>
      </c>
      <c r="G199" s="1" t="s">
        <v>273</v>
      </c>
      <c r="H199" s="1" t="s">
        <v>30</v>
      </c>
      <c r="I199" s="1" t="s">
        <v>15</v>
      </c>
      <c r="J199" s="1" t="s">
        <v>15</v>
      </c>
      <c r="K199" s="1">
        <v>38150</v>
      </c>
      <c r="L199" s="2">
        <v>1258950</v>
      </c>
      <c r="M199" s="1" t="s">
        <v>487</v>
      </c>
      <c r="N199" s="8" t="s">
        <v>459</v>
      </c>
      <c r="O199" s="8"/>
      <c r="P199" s="1" t="str">
        <f t="shared" si="3"/>
        <v>20/07/2026</v>
      </c>
      <c r="Q199" s="18">
        <v>46223</v>
      </c>
      <c r="R199" s="19">
        <f ca="1">Table13[[#This Row],[Column1]]-TODAY()</f>
        <v>-26</v>
      </c>
    </row>
    <row r="200" spans="1:18">
      <c r="A200" s="7" t="s">
        <v>95</v>
      </c>
      <c r="B200" s="1" t="s">
        <v>96</v>
      </c>
      <c r="C200" s="1">
        <v>2</v>
      </c>
      <c r="D200" s="1" t="s">
        <v>14</v>
      </c>
      <c r="E200" s="1" t="s">
        <v>15</v>
      </c>
      <c r="F200" s="1">
        <v>2</v>
      </c>
      <c r="G200" s="1" t="s">
        <v>84</v>
      </c>
      <c r="H200" s="1" t="s">
        <v>85</v>
      </c>
      <c r="I200" s="1" t="s">
        <v>15</v>
      </c>
      <c r="J200" s="1" t="s">
        <v>15</v>
      </c>
      <c r="K200" s="1">
        <v>628668</v>
      </c>
      <c r="L200" s="2">
        <v>1257336</v>
      </c>
      <c r="M200" s="1" t="s">
        <v>488</v>
      </c>
      <c r="N200" s="8" t="s">
        <v>459</v>
      </c>
      <c r="O200" s="8"/>
      <c r="P200" s="1" t="str">
        <f t="shared" si="3"/>
        <v>6/7/2026</v>
      </c>
      <c r="Q200" s="18">
        <v>46209</v>
      </c>
      <c r="R200" s="19">
        <f ca="1">Table13[[#This Row],[Column1]]-TODAY()</f>
        <v>-40</v>
      </c>
    </row>
    <row r="201" spans="1:18">
      <c r="A201" s="7" t="s">
        <v>239</v>
      </c>
      <c r="B201" s="1" t="s">
        <v>240</v>
      </c>
      <c r="C201" s="1">
        <v>1</v>
      </c>
      <c r="D201" s="1" t="s">
        <v>14</v>
      </c>
      <c r="E201" s="1" t="s">
        <v>15</v>
      </c>
      <c r="F201" s="1">
        <v>1</v>
      </c>
      <c r="G201" s="1" t="s">
        <v>237</v>
      </c>
      <c r="H201" s="1" t="s">
        <v>238</v>
      </c>
      <c r="I201" s="1" t="s">
        <v>15</v>
      </c>
      <c r="J201" s="1" t="s">
        <v>15</v>
      </c>
      <c r="K201" s="1">
        <v>1159456</v>
      </c>
      <c r="L201" s="2">
        <v>1159456</v>
      </c>
      <c r="M201" s="1" t="s">
        <v>480</v>
      </c>
      <c r="N201" s="8" t="s">
        <v>459</v>
      </c>
      <c r="O201" s="8"/>
      <c r="P201" s="1" t="str">
        <f t="shared" si="3"/>
        <v>02/07/2026</v>
      </c>
      <c r="Q201" s="18">
        <v>46205</v>
      </c>
      <c r="R201" s="19">
        <f ca="1">Table13[[#This Row],[Column1]]-TODAY()</f>
        <v>-44</v>
      </c>
    </row>
    <row r="202" spans="1:18">
      <c r="A202" s="7" t="s">
        <v>250</v>
      </c>
      <c r="B202" s="1" t="s">
        <v>251</v>
      </c>
      <c r="C202" s="1">
        <v>1</v>
      </c>
      <c r="D202" s="1" t="s">
        <v>14</v>
      </c>
      <c r="E202" s="1" t="s">
        <v>15</v>
      </c>
      <c r="F202" s="1">
        <v>1</v>
      </c>
      <c r="G202" s="1" t="s">
        <v>212</v>
      </c>
      <c r="H202" s="1" t="s">
        <v>30</v>
      </c>
      <c r="I202" s="1" t="s">
        <v>15</v>
      </c>
      <c r="J202" s="1" t="s">
        <v>15</v>
      </c>
      <c r="K202" s="1">
        <v>1037894</v>
      </c>
      <c r="L202" s="2">
        <v>1037894</v>
      </c>
      <c r="M202" s="1" t="s">
        <v>489</v>
      </c>
      <c r="N202" s="8" t="s">
        <v>459</v>
      </c>
      <c r="O202" s="8"/>
      <c r="P202" s="1" t="str">
        <f t="shared" si="3"/>
        <v>27/5/2026</v>
      </c>
      <c r="Q202" s="18">
        <v>46169</v>
      </c>
      <c r="R202" s="19">
        <f ca="1">Table13[[#This Row],[Column1]]-TODAY()</f>
        <v>-80</v>
      </c>
    </row>
    <row r="203" spans="1:18">
      <c r="A203" s="7" t="s">
        <v>170</v>
      </c>
      <c r="B203" s="1" t="s">
        <v>171</v>
      </c>
      <c r="C203" s="1">
        <v>8</v>
      </c>
      <c r="D203" s="1" t="s">
        <v>14</v>
      </c>
      <c r="E203" s="1" t="s">
        <v>15</v>
      </c>
      <c r="F203" s="1">
        <v>8</v>
      </c>
      <c r="G203" s="1" t="s">
        <v>88</v>
      </c>
      <c r="H203" s="1" t="s">
        <v>30</v>
      </c>
      <c r="I203" s="1" t="s">
        <v>15</v>
      </c>
      <c r="J203" s="1" t="s">
        <v>15</v>
      </c>
      <c r="K203" s="1">
        <v>87268.125</v>
      </c>
      <c r="L203" s="2">
        <v>698145</v>
      </c>
      <c r="M203" s="1" t="s">
        <v>490</v>
      </c>
      <c r="N203" s="8" t="s">
        <v>459</v>
      </c>
      <c r="O203" s="8"/>
      <c r="P203" s="1" t="str">
        <f t="shared" si="3"/>
        <v>11/8/2026</v>
      </c>
      <c r="Q203" s="18">
        <v>46245</v>
      </c>
      <c r="R203" s="19">
        <f ca="1">Table13[[#This Row],[Column1]]-TODAY()</f>
        <v>-4</v>
      </c>
    </row>
    <row r="204" spans="1:18">
      <c r="A204" s="7" t="s">
        <v>82</v>
      </c>
      <c r="B204" s="1" t="s">
        <v>83</v>
      </c>
      <c r="C204" s="1">
        <v>1</v>
      </c>
      <c r="D204" s="1" t="s">
        <v>14</v>
      </c>
      <c r="E204" s="1" t="s">
        <v>15</v>
      </c>
      <c r="F204" s="1">
        <v>1</v>
      </c>
      <c r="G204" s="1" t="s">
        <v>84</v>
      </c>
      <c r="H204" s="1" t="s">
        <v>85</v>
      </c>
      <c r="I204" s="1" t="s">
        <v>15</v>
      </c>
      <c r="J204" s="1" t="s">
        <v>15</v>
      </c>
      <c r="K204" s="1">
        <v>530914</v>
      </c>
      <c r="L204" s="2">
        <v>530914</v>
      </c>
      <c r="M204" s="1" t="s">
        <v>491</v>
      </c>
      <c r="N204" s="8" t="s">
        <v>459</v>
      </c>
      <c r="O204" s="8"/>
      <c r="P204" s="1" t="str">
        <f t="shared" si="3"/>
        <v>5/8/2026</v>
      </c>
      <c r="Q204" s="18">
        <v>46239</v>
      </c>
      <c r="R204" s="19">
        <f ca="1">Table13[[#This Row],[Column1]]-TODAY()</f>
        <v>-10</v>
      </c>
    </row>
    <row r="205" spans="1:18">
      <c r="A205" s="7" t="s">
        <v>297</v>
      </c>
      <c r="B205" s="1" t="s">
        <v>298</v>
      </c>
      <c r="C205" s="1">
        <v>66</v>
      </c>
      <c r="D205" s="1" t="s">
        <v>14</v>
      </c>
      <c r="E205" s="1" t="s">
        <v>15</v>
      </c>
      <c r="F205" s="1">
        <v>66</v>
      </c>
      <c r="G205" s="1" t="s">
        <v>78</v>
      </c>
      <c r="H205" s="1" t="s">
        <v>184</v>
      </c>
      <c r="I205" s="1" t="s">
        <v>15</v>
      </c>
      <c r="J205" s="1" t="s">
        <v>15</v>
      </c>
      <c r="K205" s="1">
        <v>7814.8030302999996</v>
      </c>
      <c r="L205" s="2">
        <v>515777</v>
      </c>
      <c r="M205" s="1" t="s">
        <v>492</v>
      </c>
      <c r="N205" s="8" t="s">
        <v>459</v>
      </c>
      <c r="O205" s="8"/>
      <c r="P205" s="1" t="str">
        <f t="shared" si="3"/>
        <v>6/8/2026</v>
      </c>
      <c r="Q205" s="18">
        <v>46240</v>
      </c>
      <c r="R205" s="19">
        <f ca="1">Table13[[#This Row],[Column1]]-TODAY()</f>
        <v>-9</v>
      </c>
    </row>
    <row r="206" spans="1:18">
      <c r="A206" s="7" t="s">
        <v>199</v>
      </c>
      <c r="B206" s="1" t="s">
        <v>200</v>
      </c>
      <c r="C206" s="1">
        <v>55</v>
      </c>
      <c r="D206" s="1" t="s">
        <v>14</v>
      </c>
      <c r="E206" s="1" t="s">
        <v>15</v>
      </c>
      <c r="F206" s="1">
        <v>55</v>
      </c>
      <c r="G206" s="1" t="s">
        <v>196</v>
      </c>
      <c r="H206" s="1" t="s">
        <v>184</v>
      </c>
      <c r="I206" s="1" t="s">
        <v>15</v>
      </c>
      <c r="J206" s="1" t="s">
        <v>15</v>
      </c>
      <c r="K206" s="1">
        <v>8727.0909090900004</v>
      </c>
      <c r="L206" s="2">
        <v>479990</v>
      </c>
      <c r="M206" s="1" t="s">
        <v>493</v>
      </c>
      <c r="N206" s="8" t="s">
        <v>459</v>
      </c>
      <c r="O206" s="8"/>
      <c r="P206" s="1" t="str">
        <f t="shared" si="3"/>
        <v>7/8/2026</v>
      </c>
      <c r="Q206" s="18">
        <v>46241</v>
      </c>
      <c r="R206" s="19">
        <f ca="1">Table13[[#This Row],[Column1]]-TODAY()</f>
        <v>-8</v>
      </c>
    </row>
    <row r="207" spans="1:18">
      <c r="A207" s="7" t="s">
        <v>172</v>
      </c>
      <c r="B207" s="1" t="s">
        <v>171</v>
      </c>
      <c r="C207" s="1">
        <v>4</v>
      </c>
      <c r="D207" s="1" t="s">
        <v>14</v>
      </c>
      <c r="E207" s="1" t="s">
        <v>15</v>
      </c>
      <c r="F207" s="1">
        <v>4</v>
      </c>
      <c r="G207" s="1" t="s">
        <v>88</v>
      </c>
      <c r="H207" s="1" t="s">
        <v>30</v>
      </c>
      <c r="I207" s="1" t="s">
        <v>15</v>
      </c>
      <c r="J207" s="1" t="s">
        <v>15</v>
      </c>
      <c r="K207" s="1">
        <v>87263</v>
      </c>
      <c r="L207" s="2">
        <v>349052</v>
      </c>
      <c r="M207" s="1" t="s">
        <v>494</v>
      </c>
      <c r="N207" s="8" t="s">
        <v>459</v>
      </c>
      <c r="O207" s="8"/>
      <c r="P207" s="1" t="str">
        <f t="shared" si="3"/>
        <v>13/8/2026</v>
      </c>
      <c r="Q207" s="18">
        <v>46247</v>
      </c>
      <c r="R207" s="19">
        <f ca="1">Table13[[#This Row],[Column1]]-TODAY()</f>
        <v>-2</v>
      </c>
    </row>
    <row r="208" spans="1:18">
      <c r="A208" s="7" t="s">
        <v>375</v>
      </c>
      <c r="B208" s="1" t="s">
        <v>376</v>
      </c>
      <c r="C208" s="1">
        <v>4</v>
      </c>
      <c r="D208" s="1" t="s">
        <v>14</v>
      </c>
      <c r="E208" s="1" t="s">
        <v>15</v>
      </c>
      <c r="F208" s="1">
        <v>4</v>
      </c>
      <c r="G208" s="1" t="s">
        <v>16</v>
      </c>
      <c r="H208" s="1" t="s">
        <v>26</v>
      </c>
      <c r="I208" s="1" t="s">
        <v>15</v>
      </c>
      <c r="J208" s="1" t="s">
        <v>15</v>
      </c>
      <c r="K208" s="1">
        <v>29336</v>
      </c>
      <c r="L208" s="2">
        <v>117344</v>
      </c>
      <c r="M208" s="1" t="s">
        <v>495</v>
      </c>
      <c r="N208" s="8" t="s">
        <v>459</v>
      </c>
      <c r="O208" s="8"/>
      <c r="P208" s="1" t="str">
        <f t="shared" si="3"/>
        <v>12/08/2026</v>
      </c>
      <c r="Q208" s="18">
        <v>46246</v>
      </c>
      <c r="R208" s="19">
        <f ca="1">Table13[[#This Row],[Column1]]-TODAY()</f>
        <v>-3</v>
      </c>
    </row>
    <row r="209" spans="1:18">
      <c r="A209" s="7" t="s">
        <v>258</v>
      </c>
      <c r="B209" s="1" t="s">
        <v>259</v>
      </c>
      <c r="C209" s="1">
        <v>5.6</v>
      </c>
      <c r="D209" s="1" t="s">
        <v>14</v>
      </c>
      <c r="E209" s="1" t="s">
        <v>15</v>
      </c>
      <c r="F209" s="1">
        <v>5.6</v>
      </c>
      <c r="G209" s="1" t="s">
        <v>260</v>
      </c>
      <c r="H209" s="1" t="s">
        <v>30</v>
      </c>
      <c r="I209" s="1" t="s">
        <v>15</v>
      </c>
      <c r="J209" s="1" t="s">
        <v>15</v>
      </c>
      <c r="K209" s="1">
        <v>15592.5</v>
      </c>
      <c r="L209" s="2">
        <v>87318</v>
      </c>
      <c r="M209" s="1" t="s">
        <v>496</v>
      </c>
      <c r="N209" s="8" t="s">
        <v>459</v>
      </c>
      <c r="O209" s="8"/>
      <c r="P209" s="1" t="str">
        <f t="shared" si="3"/>
        <v>8/3/2026</v>
      </c>
      <c r="Q209" s="18">
        <v>46089</v>
      </c>
      <c r="R209" s="19">
        <f ca="1">Table13[[#This Row],[Column1]]-TODAY()</f>
        <v>-160</v>
      </c>
    </row>
    <row r="210" spans="1:18">
      <c r="A210" s="7" t="s">
        <v>194</v>
      </c>
      <c r="B210" s="1" t="s">
        <v>195</v>
      </c>
      <c r="C210" s="1">
        <v>8</v>
      </c>
      <c r="D210" s="1" t="s">
        <v>14</v>
      </c>
      <c r="E210" s="1" t="s">
        <v>15</v>
      </c>
      <c r="F210" s="1">
        <v>8</v>
      </c>
      <c r="G210" s="1" t="s">
        <v>196</v>
      </c>
      <c r="H210" s="1" t="s">
        <v>184</v>
      </c>
      <c r="I210" s="1" t="s">
        <v>15</v>
      </c>
      <c r="J210" s="1" t="s">
        <v>15</v>
      </c>
      <c r="K210" s="1">
        <v>8836.75</v>
      </c>
      <c r="L210" s="2">
        <v>70694</v>
      </c>
      <c r="M210" s="1" t="s">
        <v>497</v>
      </c>
      <c r="N210" s="8" t="s">
        <v>459</v>
      </c>
      <c r="O210" s="8"/>
      <c r="P210" s="1" t="str">
        <f t="shared" si="3"/>
        <v>7/8/2026</v>
      </c>
      <c r="Q210" s="18">
        <v>46241</v>
      </c>
      <c r="R210" s="19">
        <f ca="1">Table13[[#This Row],[Column1]]-TODAY()</f>
        <v>-8</v>
      </c>
    </row>
    <row r="211" spans="1:18">
      <c r="A211" s="7" t="s">
        <v>274</v>
      </c>
      <c r="B211" s="1" t="s">
        <v>275</v>
      </c>
      <c r="C211" s="1">
        <v>8</v>
      </c>
      <c r="D211" s="1" t="s">
        <v>14</v>
      </c>
      <c r="E211" s="1" t="s">
        <v>15</v>
      </c>
      <c r="F211" s="1">
        <v>8</v>
      </c>
      <c r="G211" s="1" t="s">
        <v>183</v>
      </c>
      <c r="H211" s="1" t="s">
        <v>276</v>
      </c>
      <c r="I211" s="1" t="s">
        <v>15</v>
      </c>
      <c r="J211" s="1" t="s">
        <v>15</v>
      </c>
      <c r="K211" s="1">
        <v>7889.875</v>
      </c>
      <c r="L211" s="2">
        <v>63119</v>
      </c>
      <c r="M211" s="1" t="s">
        <v>498</v>
      </c>
      <c r="N211" s="8" t="s">
        <v>459</v>
      </c>
      <c r="O211" s="8"/>
      <c r="P211" s="1" t="str">
        <f t="shared" si="3"/>
        <v>10/8/2026</v>
      </c>
      <c r="Q211" s="18">
        <v>46244</v>
      </c>
      <c r="R211" s="19">
        <f ca="1">Table13[[#This Row],[Column1]]-TODAY()</f>
        <v>-5</v>
      </c>
    </row>
    <row r="212" spans="1:18">
      <c r="A212" s="7" t="s">
        <v>192</v>
      </c>
      <c r="B212" s="1" t="s">
        <v>193</v>
      </c>
      <c r="C212" s="1">
        <v>12</v>
      </c>
      <c r="D212" s="1" t="s">
        <v>14</v>
      </c>
      <c r="E212" s="1" t="s">
        <v>15</v>
      </c>
      <c r="F212" s="1">
        <v>12</v>
      </c>
      <c r="G212" s="1" t="s">
        <v>183</v>
      </c>
      <c r="H212" s="1" t="s">
        <v>184</v>
      </c>
      <c r="I212" s="1" t="s">
        <v>15</v>
      </c>
      <c r="J212" s="1" t="s">
        <v>15</v>
      </c>
      <c r="K212" s="1">
        <v>5141.8333333299997</v>
      </c>
      <c r="L212" s="2">
        <v>61702</v>
      </c>
      <c r="M212" s="1" t="s">
        <v>499</v>
      </c>
      <c r="N212" s="8" t="s">
        <v>459</v>
      </c>
      <c r="O212" s="8"/>
      <c r="P212" s="1" t="str">
        <f t="shared" si="3"/>
        <v>6/8/2026</v>
      </c>
      <c r="Q212" s="18">
        <v>46240</v>
      </c>
      <c r="R212" s="19">
        <f ca="1">Table13[[#This Row],[Column1]]-TODAY()</f>
        <v>-9</v>
      </c>
    </row>
    <row r="213" spans="1:18">
      <c r="A213" s="7" t="s">
        <v>189</v>
      </c>
      <c r="B213" s="1" t="s">
        <v>190</v>
      </c>
      <c r="C213" s="1">
        <v>8</v>
      </c>
      <c r="D213" s="1" t="s">
        <v>14</v>
      </c>
      <c r="E213" s="1" t="s">
        <v>15</v>
      </c>
      <c r="F213" s="1">
        <v>8</v>
      </c>
      <c r="G213" s="1" t="s">
        <v>191</v>
      </c>
      <c r="H213" s="1" t="s">
        <v>184</v>
      </c>
      <c r="I213" s="1" t="s">
        <v>15</v>
      </c>
      <c r="J213" s="1" t="s">
        <v>15</v>
      </c>
      <c r="K213" s="1">
        <v>6984.375</v>
      </c>
      <c r="L213" s="2">
        <v>55875</v>
      </c>
      <c r="M213" s="1" t="s">
        <v>500</v>
      </c>
      <c r="N213" s="8" t="s">
        <v>459</v>
      </c>
      <c r="O213" s="8"/>
      <c r="P213" s="1" t="str">
        <f t="shared" si="3"/>
        <v>12/8/2026</v>
      </c>
      <c r="Q213" s="18">
        <v>46246</v>
      </c>
      <c r="R213" s="19">
        <f ca="1">Table13[[#This Row],[Column1]]-TODAY()</f>
        <v>-3</v>
      </c>
    </row>
    <row r="214" spans="1:18">
      <c r="A214" s="7" t="s">
        <v>423</v>
      </c>
      <c r="B214" s="1" t="s">
        <v>108</v>
      </c>
      <c r="C214" s="1">
        <v>6</v>
      </c>
      <c r="D214" s="1" t="s">
        <v>14</v>
      </c>
      <c r="E214" s="1" t="s">
        <v>15</v>
      </c>
      <c r="F214" s="1">
        <v>6</v>
      </c>
      <c r="G214" s="1" t="s">
        <v>16</v>
      </c>
      <c r="H214" s="1" t="s">
        <v>26</v>
      </c>
      <c r="I214" s="1" t="s">
        <v>15</v>
      </c>
      <c r="J214" s="1" t="s">
        <v>15</v>
      </c>
      <c r="K214" s="1">
        <v>8833.6666666700003</v>
      </c>
      <c r="L214" s="2">
        <v>53002</v>
      </c>
      <c r="M214" s="1" t="s">
        <v>501</v>
      </c>
      <c r="N214" s="8" t="s">
        <v>459</v>
      </c>
      <c r="O214" s="8"/>
      <c r="P214" s="1" t="str">
        <f t="shared" si="3"/>
        <v>23/06/2026</v>
      </c>
      <c r="Q214" s="18">
        <v>46196</v>
      </c>
      <c r="R214" s="19">
        <f ca="1">Table13[[#This Row],[Column1]]-TODAY()</f>
        <v>-53</v>
      </c>
    </row>
    <row r="215" spans="1:18">
      <c r="A215" s="7" t="s">
        <v>39</v>
      </c>
      <c r="B215" s="1" t="s">
        <v>40</v>
      </c>
      <c r="C215" s="1">
        <v>149450.00000999999</v>
      </c>
      <c r="D215" s="1" t="s">
        <v>14</v>
      </c>
      <c r="E215" s="1" t="s">
        <v>15</v>
      </c>
      <c r="F215" s="2">
        <v>149450.00000999999</v>
      </c>
      <c r="G215" s="1" t="s">
        <v>29</v>
      </c>
      <c r="H215" s="1" t="s">
        <v>30</v>
      </c>
      <c r="I215" s="1" t="s">
        <v>15</v>
      </c>
      <c r="J215" s="1" t="s">
        <v>15</v>
      </c>
      <c r="K215" s="1">
        <v>201.89495482000001</v>
      </c>
      <c r="L215" s="2">
        <v>30173201</v>
      </c>
      <c r="M215" s="1" t="s">
        <v>520</v>
      </c>
      <c r="N215" s="8" t="s">
        <v>516</v>
      </c>
      <c r="O215" s="8" t="s">
        <v>460</v>
      </c>
      <c r="P215" s="1" t="str">
        <f t="shared" si="3"/>
        <v xml:space="preserve">	01/06/2026</v>
      </c>
      <c r="Q215" s="18">
        <v>46174</v>
      </c>
      <c r="R215" s="19">
        <f ca="1">Table13[[#This Row],[Column1]]-TODAY()</f>
        <v>-75</v>
      </c>
    </row>
    <row r="216" spans="1:18">
      <c r="A216" s="7" t="s">
        <v>205</v>
      </c>
      <c r="B216" s="1" t="s">
        <v>206</v>
      </c>
      <c r="C216" s="1">
        <v>2</v>
      </c>
      <c r="D216" s="1" t="s">
        <v>14</v>
      </c>
      <c r="E216" s="1" t="s">
        <v>15</v>
      </c>
      <c r="F216" s="1">
        <v>2</v>
      </c>
      <c r="G216" s="1" t="s">
        <v>196</v>
      </c>
      <c r="H216" s="1" t="s">
        <v>184</v>
      </c>
      <c r="I216" s="1" t="s">
        <v>15</v>
      </c>
      <c r="J216" s="1" t="s">
        <v>15</v>
      </c>
      <c r="K216" s="1">
        <v>9654</v>
      </c>
      <c r="L216" s="2">
        <v>19308</v>
      </c>
      <c r="M216" s="1" t="s">
        <v>502</v>
      </c>
      <c r="N216" s="8" t="s">
        <v>459</v>
      </c>
      <c r="O216" s="8"/>
      <c r="P216" s="1" t="str">
        <f t="shared" si="3"/>
        <v>7/8/2026</v>
      </c>
      <c r="Q216" s="18">
        <v>46241</v>
      </c>
      <c r="R216" s="19">
        <f ca="1">Table13[[#This Row],[Column1]]-TODAY()</f>
        <v>-8</v>
      </c>
    </row>
    <row r="217" spans="1:18">
      <c r="A217" s="7" t="s">
        <v>178</v>
      </c>
      <c r="B217" s="1" t="s">
        <v>179</v>
      </c>
      <c r="C217" s="1">
        <v>237.49628000000001</v>
      </c>
      <c r="D217" s="1" t="s">
        <v>14</v>
      </c>
      <c r="E217" s="1" t="s">
        <v>15</v>
      </c>
      <c r="F217" s="2">
        <v>237.49628000000001</v>
      </c>
      <c r="G217" s="1" t="s">
        <v>180</v>
      </c>
      <c r="H217" s="1" t="s">
        <v>70</v>
      </c>
      <c r="I217" s="1" t="s">
        <v>15</v>
      </c>
      <c r="J217" s="1" t="s">
        <v>15</v>
      </c>
      <c r="K217" s="1">
        <v>237886.85948864001</v>
      </c>
      <c r="L217" s="2">
        <v>56497243</v>
      </c>
      <c r="M217" s="1" t="s">
        <v>476</v>
      </c>
      <c r="N217" s="8" t="s">
        <v>516</v>
      </c>
      <c r="O217" s="8" t="s">
        <v>460</v>
      </c>
      <c r="P217" s="18" t="s">
        <v>521</v>
      </c>
      <c r="Q217" s="18">
        <v>46221</v>
      </c>
      <c r="R217" s="19">
        <f ca="1">Table13[[#This Row],[Column1]]-TODAY()</f>
        <v>-28</v>
      </c>
    </row>
    <row r="218" spans="1:18">
      <c r="A218" s="9" t="s">
        <v>197</v>
      </c>
      <c r="B218" s="10" t="s">
        <v>198</v>
      </c>
      <c r="C218" s="10">
        <v>1</v>
      </c>
      <c r="D218" s="10" t="s">
        <v>14</v>
      </c>
      <c r="E218" s="10" t="s">
        <v>15</v>
      </c>
      <c r="F218" s="10">
        <v>1</v>
      </c>
      <c r="G218" s="10" t="s">
        <v>196</v>
      </c>
      <c r="H218" s="10" t="s">
        <v>184</v>
      </c>
      <c r="I218" s="10" t="s">
        <v>15</v>
      </c>
      <c r="J218" s="10" t="s">
        <v>15</v>
      </c>
      <c r="K218" s="10">
        <v>8051</v>
      </c>
      <c r="L218" s="11">
        <v>8051</v>
      </c>
      <c r="M218" s="10" t="s">
        <v>503</v>
      </c>
      <c r="N218" s="12" t="s">
        <v>459</v>
      </c>
      <c r="O218" s="12"/>
      <c r="P218" s="10" t="str">
        <f t="shared" si="3"/>
        <v>7/8/2026</v>
      </c>
      <c r="Q218" s="18">
        <v>46241</v>
      </c>
      <c r="R218" s="19">
        <f ca="1">Table13[[#This Row],[Column1]]-TODAY()</f>
        <v>-8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Administrator</cp:lastModifiedBy>
  <dcterms:created xsi:type="dcterms:W3CDTF">2026-08-14T07:39:57Z</dcterms:created>
  <dcterms:modified xsi:type="dcterms:W3CDTF">2026-08-15T04:35:47Z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fdf982-e0b2-4fef-b254-a4f7d55672f5_Enabled">
    <vt:lpwstr>true</vt:lpwstr>
  </property>
  <property fmtid="{D5CDD505-2E9C-101B-9397-08002B2CF9AE}" pid="3" name="MSIP_Label_91fdf982-e0b2-4fef-b254-a4f7d55672f5_SetDate">
    <vt:lpwstr>2026-08-14T07:42:34Z</vt:lpwstr>
  </property>
  <property fmtid="{D5CDD505-2E9C-101B-9397-08002B2CF9AE}" pid="4" name="MSIP_Label_91fdf982-e0b2-4fef-b254-a4f7d55672f5_Method">
    <vt:lpwstr>Standard</vt:lpwstr>
  </property>
  <property fmtid="{D5CDD505-2E9C-101B-9397-08002B2CF9AE}" pid="5" name="MSIP_Label_91fdf982-e0b2-4fef-b254-a4f7d55672f5_Name">
    <vt:lpwstr>All Employees (unrestricted)</vt:lpwstr>
  </property>
  <property fmtid="{D5CDD505-2E9C-101B-9397-08002B2CF9AE}" pid="6" name="MSIP_Label_91fdf982-e0b2-4fef-b254-a4f7d55672f5_SiteId">
    <vt:lpwstr>d0b3652b-53f5-49fa-a823-1d706e22305a</vt:lpwstr>
  </property>
  <property fmtid="{D5CDD505-2E9C-101B-9397-08002B2CF9AE}" pid="7" name="MSIP_Label_91fdf982-e0b2-4fef-b254-a4f7d55672f5_ActionId">
    <vt:lpwstr>0d364afa-38d7-4471-848f-ff761bf77433</vt:lpwstr>
  </property>
  <property fmtid="{D5CDD505-2E9C-101B-9397-08002B2CF9AE}" pid="8" name="MSIP_Label_91fdf982-e0b2-4fef-b254-a4f7d55672f5_ContentBits">
    <vt:lpwstr>0</vt:lpwstr>
  </property>
  <property fmtid="{D5CDD505-2E9C-101B-9397-08002B2CF9AE}" pid="9" name="MSIP_Label_91fdf982-e0b2-4fef-b254-a4f7d55672f5_Tag">
    <vt:lpwstr>10, 3, 0, 1</vt:lpwstr>
  </property>
</Properties>
</file>